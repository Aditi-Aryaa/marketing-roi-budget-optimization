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hit\OneDrive\Desktop\Marketing ROI Project 1\"/>
    </mc:Choice>
  </mc:AlternateContent>
  <xr:revisionPtr revIDLastSave="0" documentId="13_ncr:1_{85174D14-789E-4D37-A177-0ACE1BACC66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kpi_summary" sheetId="2" r:id="rId2"/>
    <sheet name="budget_scenario" sheetId="3" r:id="rId3"/>
  </sheets>
  <definedNames>
    <definedName name="_xlnm._FilterDatabase" localSheetId="2" hidden="1">budget_scenario!$A$1:$I$6</definedName>
  </definedNames>
  <calcPr calcId="191029"/>
</workbook>
</file>

<file path=xl/calcChain.xml><?xml version="1.0" encoding="utf-8"?>
<calcChain xmlns="http://schemas.openxmlformats.org/spreadsheetml/2006/main">
  <c r="I3" i="3" l="1"/>
  <c r="I2" i="3"/>
  <c r="I5" i="3"/>
  <c r="I6" i="3"/>
  <c r="I4" i="3"/>
  <c r="L4" i="3"/>
  <c r="L3" i="3"/>
  <c r="L2" i="3"/>
  <c r="M3" i="2"/>
  <c r="M4" i="2"/>
  <c r="M5" i="2"/>
  <c r="M6" i="2"/>
  <c r="M2" i="2"/>
  <c r="B3" i="3"/>
  <c r="C3" i="3" s="1"/>
  <c r="D3" i="3" s="1"/>
  <c r="B2" i="3"/>
  <c r="C2" i="3" s="1"/>
  <c r="D2" i="3" s="1"/>
  <c r="B5" i="3"/>
  <c r="C5" i="3" s="1"/>
  <c r="D5" i="3" s="1"/>
  <c r="B6" i="3"/>
  <c r="C6" i="3" s="1"/>
  <c r="B4" i="3"/>
  <c r="C4" i="3" s="1"/>
  <c r="J6" i="2"/>
  <c r="H6" i="2"/>
  <c r="F3" i="2"/>
  <c r="K3" i="2" s="1"/>
  <c r="L3" i="2" s="1"/>
  <c r="F4" i="2"/>
  <c r="K4" i="2" s="1"/>
  <c r="L4" i="2" s="1"/>
  <c r="F5" i="2"/>
  <c r="K5" i="2" s="1"/>
  <c r="L5" i="2" s="1"/>
  <c r="F6" i="2"/>
  <c r="K6" i="2" s="1"/>
  <c r="L6" i="2" s="1"/>
  <c r="E3" i="2"/>
  <c r="I3" i="2" s="1"/>
  <c r="E4" i="2"/>
  <c r="I4" i="2" s="1"/>
  <c r="E5" i="2"/>
  <c r="I5" i="2" s="1"/>
  <c r="E6" i="2"/>
  <c r="I6" i="2" s="1"/>
  <c r="D3" i="2"/>
  <c r="H3" i="2" s="1"/>
  <c r="D4" i="2"/>
  <c r="H4" i="2" s="1"/>
  <c r="D5" i="2"/>
  <c r="H5" i="2" s="1"/>
  <c r="D6" i="2"/>
  <c r="C3" i="2"/>
  <c r="G3" i="2" s="1"/>
  <c r="C4" i="2"/>
  <c r="G4" i="2" s="1"/>
  <c r="C5" i="2"/>
  <c r="G5" i="2" s="1"/>
  <c r="C6" i="2"/>
  <c r="G6" i="2" s="1"/>
  <c r="B3" i="2"/>
  <c r="B4" i="2"/>
  <c r="B5" i="2"/>
  <c r="B6" i="2"/>
  <c r="F2" i="2"/>
  <c r="K2" i="2" s="1"/>
  <c r="L2" i="2" s="1"/>
  <c r="E2" i="2"/>
  <c r="I2" i="2" s="1"/>
  <c r="D2" i="2"/>
  <c r="H2" i="2" s="1"/>
  <c r="C2" i="2"/>
  <c r="G2" i="2" s="1"/>
  <c r="B2" i="2"/>
  <c r="D4" i="3" l="1"/>
  <c r="E4" i="3" s="1"/>
  <c r="H4" i="3" s="1"/>
  <c r="G4" i="3"/>
  <c r="D6" i="3"/>
  <c r="F6" i="3" s="1"/>
  <c r="G6" i="3"/>
  <c r="B8" i="3"/>
  <c r="G5" i="3"/>
  <c r="G2" i="3"/>
  <c r="G3" i="3"/>
  <c r="F5" i="3"/>
  <c r="E5" i="3"/>
  <c r="H5" i="3" s="1"/>
  <c r="F2" i="3"/>
  <c r="E2" i="3"/>
  <c r="H2" i="3" s="1"/>
  <c r="F3" i="3"/>
  <c r="E3" i="3"/>
  <c r="H3" i="3" s="1"/>
  <c r="N6" i="2"/>
  <c r="J5" i="2"/>
  <c r="N5" i="2" s="1"/>
  <c r="J2" i="2"/>
  <c r="N2" i="2" s="1"/>
  <c r="J4" i="2"/>
  <c r="N4" i="2" s="1"/>
  <c r="J3" i="2"/>
  <c r="N3" i="2" s="1"/>
  <c r="E6" i="3" l="1"/>
  <c r="H6" i="3" s="1"/>
  <c r="F4" i="3"/>
</calcChain>
</file>

<file path=xl/sharedStrings.xml><?xml version="1.0" encoding="utf-8"?>
<sst xmlns="http://schemas.openxmlformats.org/spreadsheetml/2006/main" count="1244" uniqueCount="38">
  <si>
    <t>date</t>
  </si>
  <si>
    <t>channel</t>
  </si>
  <si>
    <t>campaign_name</t>
  </si>
  <si>
    <t>impressions</t>
  </si>
  <si>
    <t>clicks</t>
  </si>
  <si>
    <t>conversions</t>
  </si>
  <si>
    <t>cost</t>
  </si>
  <si>
    <t>revenue</t>
  </si>
  <si>
    <t>Google Search</t>
  </si>
  <si>
    <t>Meta Ads</t>
  </si>
  <si>
    <t>Email</t>
  </si>
  <si>
    <t>Display</t>
  </si>
  <si>
    <t>LinkedIn Ads</t>
  </si>
  <si>
    <t>Google Search Campaign</t>
  </si>
  <si>
    <t>Meta Ads Campaign</t>
  </si>
  <si>
    <t>Email Campaign</t>
  </si>
  <si>
    <t>Display Campaign</t>
  </si>
  <si>
    <t>LinkedIn Ads Campaign</t>
  </si>
  <si>
    <t xml:space="preserve">cost </t>
  </si>
  <si>
    <t>CTR</t>
  </si>
  <si>
    <t>CVR</t>
  </si>
  <si>
    <t>CAC</t>
  </si>
  <si>
    <t>ROAS</t>
  </si>
  <si>
    <t>Profit</t>
  </si>
  <si>
    <t>Profit_Margin</t>
  </si>
  <si>
    <t>Efficiency_Tag</t>
  </si>
  <si>
    <t>Action</t>
  </si>
  <si>
    <t>current_cost</t>
  </si>
  <si>
    <t>scenario_cost</t>
  </si>
  <si>
    <t>scenario_revenue</t>
  </si>
  <si>
    <t>scenario_profit</t>
  </si>
  <si>
    <t>scenario_ROAs</t>
  </si>
  <si>
    <t>Winner_Count</t>
  </si>
  <si>
    <t>Realloc_Pool (20% of waste spend)</t>
  </si>
  <si>
    <t>Neutral_Spend</t>
  </si>
  <si>
    <t>delta_cost</t>
  </si>
  <si>
    <t>delta_profit</t>
  </si>
  <si>
    <t>current_profit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</si>
</sst>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165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Current ROAS By Channel</a:t>
            </a:r>
          </a:p>
          <a:p>
            <a:pPr>
              <a:defRPr/>
            </a:pPr>
            <a:endParaRPr lang="en-IN"/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kpi_summary!$J$1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kpi_summary!$A$2:$A$6</c:f>
              <c:strCache>
                <c:ptCount val="5"/>
                <c:pt idx="0">
                  <c:v>Google Search</c:v>
                </c:pt>
                <c:pt idx="1">
                  <c:v>Meta Ads</c:v>
                </c:pt>
                <c:pt idx="2">
                  <c:v>Email</c:v>
                </c:pt>
                <c:pt idx="3">
                  <c:v>Display</c:v>
                </c:pt>
                <c:pt idx="4">
                  <c:v>LinkedIn Ads</c:v>
                </c:pt>
              </c:strCache>
            </c:strRef>
          </c:cat>
          <c:val>
            <c:numRef>
              <c:f>kpi_summary!$J$2:$J$6</c:f>
              <c:numCache>
                <c:formatCode>0.00</c:formatCode>
                <c:ptCount val="5"/>
                <c:pt idx="0">
                  <c:v>3.6757635198687439</c:v>
                </c:pt>
                <c:pt idx="1">
                  <c:v>3.869232723326669</c:v>
                </c:pt>
                <c:pt idx="2">
                  <c:v>4.2431398325519716</c:v>
                </c:pt>
                <c:pt idx="3">
                  <c:v>3.7091485116683369</c:v>
                </c:pt>
                <c:pt idx="4">
                  <c:v>3.7131724753312518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2-456F-9AA4-3CFDAB521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41901919"/>
        <c:axId val="1641885599"/>
      </c:barChart>
      <c:catAx>
        <c:axId val="164190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885599"/>
        <c:crosses val="autoZero"/>
        <c:auto val="1"/>
        <c:lblAlgn val="ctr"/>
        <c:lblOffset val="100"/>
        <c:noMultiLvlLbl val="0"/>
      </c:catAx>
      <c:valAx>
        <c:axId val="1641885599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90191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Impact of Budget Reallocation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budget_scenario!$E$1</c:f>
              <c:strCache>
                <c:ptCount val="1"/>
                <c:pt idx="0">
                  <c:v> scenario_profit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budget_scenario!$A$2:$A$6</c:f>
              <c:strCache>
                <c:ptCount val="5"/>
                <c:pt idx="0">
                  <c:v>Email</c:v>
                </c:pt>
                <c:pt idx="1">
                  <c:v>Meta Ads</c:v>
                </c:pt>
                <c:pt idx="2">
                  <c:v>Google Search</c:v>
                </c:pt>
                <c:pt idx="3">
                  <c:v>Display</c:v>
                </c:pt>
                <c:pt idx="4">
                  <c:v>LinkedIn Ads</c:v>
                </c:pt>
              </c:strCache>
            </c:strRef>
          </c:cat>
          <c:val>
            <c:numRef>
              <c:f>budget_scenario!$E$2:$E$6</c:f>
              <c:numCache>
                <c:formatCode>_-[$$-409]* #,##0.00_ ;_-[$$-409]* \-#,##0.00\ ;_-[$$-409]* "-"??_ ;_-@_ </c:formatCode>
                <c:ptCount val="5"/>
                <c:pt idx="0">
                  <c:v>983605.45515467913</c:v>
                </c:pt>
                <c:pt idx="1">
                  <c:v>757883.77682728576</c:v>
                </c:pt>
                <c:pt idx="2">
                  <c:v>705014.32499999984</c:v>
                </c:pt>
                <c:pt idx="3">
                  <c:v>674670.93299999996</c:v>
                </c:pt>
                <c:pt idx="4">
                  <c:v>664686.93600000092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E-4B52-A0A4-5579B2E281CA}"/>
            </c:ext>
          </c:extLst>
        </c:ser>
        <c:ser>
          <c:idx val="1"/>
          <c:order val="1"/>
          <c:tx>
            <c:strRef>
              <c:f>budget_scenario!$I$1</c:f>
              <c:strCache>
                <c:ptCount val="1"/>
                <c:pt idx="0">
                  <c:v> current_profit 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budget_scenario!$A$2:$A$6</c:f>
              <c:strCache>
                <c:ptCount val="5"/>
                <c:pt idx="0">
                  <c:v>Email</c:v>
                </c:pt>
                <c:pt idx="1">
                  <c:v>Meta Ads</c:v>
                </c:pt>
                <c:pt idx="2">
                  <c:v>Google Search</c:v>
                </c:pt>
                <c:pt idx="3">
                  <c:v>Display</c:v>
                </c:pt>
                <c:pt idx="4">
                  <c:v>LinkedIn Ads</c:v>
                </c:pt>
              </c:strCache>
            </c:strRef>
          </c:cat>
          <c:val>
            <c:numRef>
              <c:f>budget_scenario!$I$2:$I$6</c:f>
              <c:numCache>
                <c:formatCode>_-[$$-409]* #,##0.00_ ;_-[$$-409]* \-#,##0.00\ ;_-[$$-409]* "-"??_ ;_-@_ </c:formatCode>
                <c:ptCount val="5"/>
                <c:pt idx="0">
                  <c:v>847123.13999999966</c:v>
                </c:pt>
                <c:pt idx="1">
                  <c:v>637136.74000000011</c:v>
                </c:pt>
                <c:pt idx="2">
                  <c:v>783349.24999999988</c:v>
                </c:pt>
                <c:pt idx="3">
                  <c:v>749634.36999999976</c:v>
                </c:pt>
                <c:pt idx="4">
                  <c:v>738541.04000000097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DE-4B52-A0A4-5579B2E28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2516847"/>
        <c:axId val="1772517327"/>
      </c:barChart>
      <c:catAx>
        <c:axId val="177251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17327"/>
        <c:crosses val="autoZero"/>
        <c:auto val="1"/>
        <c:lblAlgn val="ctr"/>
        <c:lblOffset val="100"/>
        <c:noMultiLvlLbl val="0"/>
      </c:catAx>
      <c:valAx>
        <c:axId val="177251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1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604629</xdr:colOff>
      <xdr:row>10</xdr:row>
      <xdr:rowOff>28161</xdr:rowOff>
    </xdr:from>
    <xdr:to>
      <xdr:col>9</xdr:col>
      <xdr:colOff>380999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43FA7-7636-9C7A-03CB-8C78D56D4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6</xdr:row>
      <xdr:rowOff>148590</xdr:rowOff>
    </xdr:from>
    <xdr:to>
      <xdr:col>10</xdr:col>
      <xdr:colOff>502920</xdr:colOff>
      <xdr:row>27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031E04-BB24-CF61-26D9-5670D0E49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DBB3C0-26B0-410E-A583-167763DC12D7}" name="tblMarketing" displayName="tblMarketing" ref="A1:H601" totalsRowShown="0" headerRowDxfId="3" headerRowBorderDxfId="2" tableBorderDxfId="1">
  <autoFilter ref="A1:H601" xr:uid="{E3DBB3C0-26B0-410E-A583-167763DC12D7}"/>
  <tableColumns count="8">
    <tableColumn id="1" xr3:uid="{4795B5B6-DCB8-42FA-BD2E-6CC26D7717F9}" name="date" dataDxfId="0"/>
    <tableColumn id="2" xr3:uid="{3BCBD101-4C01-4EF5-8A41-1E42F117A756}" name="channel"/>
    <tableColumn id="3" xr3:uid="{9A09C272-5AE4-4530-8F51-8AEE30C2AB94}" name="campaign_name"/>
    <tableColumn id="4" xr3:uid="{C38E642B-2A71-4438-9B79-100398150A14}" name="impressions"/>
    <tableColumn id="5" xr3:uid="{47356EE9-5629-4789-AB2A-CF3769423FBB}" name="clicks"/>
    <tableColumn id="6" xr3:uid="{EE995B8C-6BCE-48A9-B92C-81ABEFC65861}" name="conversions"/>
    <tableColumn id="7" xr3:uid="{56C6D69E-2B60-48A8-A605-365E6FCE1C1D}" name="cost"/>
    <tableColumn id="8" xr3:uid="{39FDC0D0-4D65-4FC2-96FD-42C4F2A1868A}" name="revenu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workbookViewId="0">
      <selection activeCell="C8" sqref="C8"/>
    </sheetView>
  </sheetViews>
  <sheetFormatPr defaultRowHeight="14.4" x14ac:dyDescent="0.3"/>
  <cols>
    <col min="2" max="2" width="9.5546875" customWidth="1"/>
    <col min="3" max="3" width="16.88671875" customWidth="1"/>
    <col min="4" max="4" width="12.77734375" customWidth="1"/>
    <col min="6" max="6" width="12.88671875" customWidth="1"/>
    <col min="8" max="8" width="9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45292</v>
      </c>
      <c r="B2" t="s">
        <v>8</v>
      </c>
      <c r="C2" t="s">
        <v>13</v>
      </c>
      <c r="D2">
        <v>20795</v>
      </c>
      <c r="E2">
        <v>1591</v>
      </c>
      <c r="F2">
        <v>183</v>
      </c>
      <c r="G2">
        <v>3844.46</v>
      </c>
      <c r="H2">
        <v>10460.66</v>
      </c>
    </row>
    <row r="3" spans="1:8" x14ac:dyDescent="0.3">
      <c r="A3" s="1">
        <v>45292</v>
      </c>
      <c r="B3" t="s">
        <v>9</v>
      </c>
      <c r="C3" t="s">
        <v>14</v>
      </c>
      <c r="D3">
        <v>21850</v>
      </c>
      <c r="E3">
        <v>371</v>
      </c>
      <c r="F3">
        <v>29</v>
      </c>
      <c r="G3">
        <v>631.08000000000004</v>
      </c>
      <c r="H3">
        <v>1615.75</v>
      </c>
    </row>
    <row r="4" spans="1:8" x14ac:dyDescent="0.3">
      <c r="A4" s="1">
        <v>45292</v>
      </c>
      <c r="B4" t="s">
        <v>10</v>
      </c>
      <c r="C4" t="s">
        <v>15</v>
      </c>
      <c r="D4">
        <v>6685</v>
      </c>
      <c r="E4">
        <v>93</v>
      </c>
      <c r="F4">
        <v>10</v>
      </c>
      <c r="G4">
        <v>310.07</v>
      </c>
      <c r="H4">
        <v>400.86</v>
      </c>
    </row>
    <row r="5" spans="1:8" x14ac:dyDescent="0.3">
      <c r="A5" s="1">
        <v>45292</v>
      </c>
      <c r="B5" t="s">
        <v>11</v>
      </c>
      <c r="C5" t="s">
        <v>16</v>
      </c>
      <c r="D5">
        <v>22568</v>
      </c>
      <c r="E5">
        <v>706</v>
      </c>
      <c r="F5">
        <v>62</v>
      </c>
      <c r="G5">
        <v>1388.17</v>
      </c>
      <c r="H5">
        <v>4466.18</v>
      </c>
    </row>
    <row r="6" spans="1:8" x14ac:dyDescent="0.3">
      <c r="A6" s="1">
        <v>45292</v>
      </c>
      <c r="B6" t="s">
        <v>12</v>
      </c>
      <c r="C6" t="s">
        <v>17</v>
      </c>
      <c r="D6">
        <v>30658</v>
      </c>
      <c r="E6">
        <v>1164</v>
      </c>
      <c r="F6">
        <v>30</v>
      </c>
      <c r="G6">
        <v>3991.52</v>
      </c>
      <c r="H6">
        <v>1968.15</v>
      </c>
    </row>
    <row r="7" spans="1:8" x14ac:dyDescent="0.3">
      <c r="A7" s="1">
        <v>45293</v>
      </c>
      <c r="B7" t="s">
        <v>8</v>
      </c>
      <c r="C7" t="s">
        <v>13</v>
      </c>
      <c r="D7">
        <v>24118</v>
      </c>
      <c r="E7">
        <v>1285</v>
      </c>
      <c r="F7">
        <v>89</v>
      </c>
      <c r="G7">
        <v>4439.32</v>
      </c>
      <c r="H7">
        <v>8129.61</v>
      </c>
    </row>
    <row r="8" spans="1:8" x14ac:dyDescent="0.3">
      <c r="A8" s="1">
        <v>45293</v>
      </c>
      <c r="B8" t="s">
        <v>9</v>
      </c>
      <c r="C8" t="s">
        <v>14</v>
      </c>
      <c r="D8">
        <v>8556</v>
      </c>
      <c r="E8">
        <v>449</v>
      </c>
      <c r="F8">
        <v>18</v>
      </c>
      <c r="G8">
        <v>438.06</v>
      </c>
      <c r="H8">
        <v>2598.79</v>
      </c>
    </row>
    <row r="9" spans="1:8" x14ac:dyDescent="0.3">
      <c r="A9" s="1">
        <v>45293</v>
      </c>
      <c r="B9" t="s">
        <v>10</v>
      </c>
      <c r="C9" t="s">
        <v>15</v>
      </c>
      <c r="D9">
        <v>13433</v>
      </c>
      <c r="E9">
        <v>496</v>
      </c>
      <c r="F9">
        <v>10</v>
      </c>
      <c r="G9">
        <v>706.01</v>
      </c>
      <c r="H9">
        <v>665.13</v>
      </c>
    </row>
    <row r="10" spans="1:8" x14ac:dyDescent="0.3">
      <c r="A10" s="1">
        <v>45293</v>
      </c>
      <c r="B10" t="s">
        <v>11</v>
      </c>
      <c r="C10" t="s">
        <v>16</v>
      </c>
      <c r="D10">
        <v>28483</v>
      </c>
      <c r="E10">
        <v>528</v>
      </c>
      <c r="F10">
        <v>44</v>
      </c>
      <c r="G10">
        <v>471.42</v>
      </c>
      <c r="H10">
        <v>6161.11</v>
      </c>
    </row>
    <row r="11" spans="1:8" x14ac:dyDescent="0.3">
      <c r="A11" s="1">
        <v>45293</v>
      </c>
      <c r="B11" t="s">
        <v>12</v>
      </c>
      <c r="C11" t="s">
        <v>17</v>
      </c>
      <c r="D11">
        <v>31531</v>
      </c>
      <c r="E11">
        <v>717</v>
      </c>
      <c r="F11">
        <v>84</v>
      </c>
      <c r="G11">
        <v>1396.66</v>
      </c>
      <c r="H11">
        <v>5281.38</v>
      </c>
    </row>
    <row r="12" spans="1:8" x14ac:dyDescent="0.3">
      <c r="A12" s="1">
        <v>45294</v>
      </c>
      <c r="B12" t="s">
        <v>8</v>
      </c>
      <c r="C12" t="s">
        <v>13</v>
      </c>
      <c r="D12">
        <v>14692</v>
      </c>
      <c r="E12">
        <v>1144</v>
      </c>
      <c r="F12">
        <v>138</v>
      </c>
      <c r="G12">
        <v>3817.12</v>
      </c>
      <c r="H12">
        <v>19103.48</v>
      </c>
    </row>
    <row r="13" spans="1:8" x14ac:dyDescent="0.3">
      <c r="A13" s="1">
        <v>45294</v>
      </c>
      <c r="B13" t="s">
        <v>9</v>
      </c>
      <c r="C13" t="s">
        <v>14</v>
      </c>
      <c r="D13">
        <v>37606</v>
      </c>
      <c r="E13">
        <v>2802</v>
      </c>
      <c r="F13">
        <v>88</v>
      </c>
      <c r="G13">
        <v>3724.29</v>
      </c>
      <c r="H13">
        <v>3957.8</v>
      </c>
    </row>
    <row r="14" spans="1:8" x14ac:dyDescent="0.3">
      <c r="A14" s="1">
        <v>45294</v>
      </c>
      <c r="B14" t="s">
        <v>10</v>
      </c>
      <c r="C14" t="s">
        <v>15</v>
      </c>
      <c r="D14">
        <v>29276</v>
      </c>
      <c r="E14">
        <v>1089</v>
      </c>
      <c r="F14">
        <v>60</v>
      </c>
      <c r="G14">
        <v>3307.94</v>
      </c>
      <c r="H14">
        <v>4754.57</v>
      </c>
    </row>
    <row r="15" spans="1:8" x14ac:dyDescent="0.3">
      <c r="A15" s="1">
        <v>45294</v>
      </c>
      <c r="B15" t="s">
        <v>11</v>
      </c>
      <c r="C15" t="s">
        <v>16</v>
      </c>
      <c r="D15">
        <v>26243</v>
      </c>
      <c r="E15">
        <v>1377</v>
      </c>
      <c r="F15">
        <v>76</v>
      </c>
      <c r="G15">
        <v>2203.12</v>
      </c>
      <c r="H15">
        <v>4421.63</v>
      </c>
    </row>
    <row r="16" spans="1:8" x14ac:dyDescent="0.3">
      <c r="A16" s="1">
        <v>45294</v>
      </c>
      <c r="B16" t="s">
        <v>12</v>
      </c>
      <c r="C16" t="s">
        <v>17</v>
      </c>
      <c r="D16">
        <v>7568</v>
      </c>
      <c r="E16">
        <v>484</v>
      </c>
      <c r="F16">
        <v>22</v>
      </c>
      <c r="G16">
        <v>394.42</v>
      </c>
      <c r="H16">
        <v>2853.42</v>
      </c>
    </row>
    <row r="17" spans="1:8" x14ac:dyDescent="0.3">
      <c r="A17" s="1">
        <v>45295</v>
      </c>
      <c r="B17" t="s">
        <v>8</v>
      </c>
      <c r="C17" t="s">
        <v>13</v>
      </c>
      <c r="D17">
        <v>38159</v>
      </c>
      <c r="E17">
        <v>2328</v>
      </c>
      <c r="F17">
        <v>279</v>
      </c>
      <c r="G17">
        <v>2327.8200000000002</v>
      </c>
      <c r="H17">
        <v>22161.31</v>
      </c>
    </row>
    <row r="18" spans="1:8" x14ac:dyDescent="0.3">
      <c r="A18" s="1">
        <v>45295</v>
      </c>
      <c r="B18" t="s">
        <v>9</v>
      </c>
      <c r="C18" t="s">
        <v>14</v>
      </c>
      <c r="D18">
        <v>27662</v>
      </c>
      <c r="E18">
        <v>1922</v>
      </c>
      <c r="F18">
        <v>150</v>
      </c>
      <c r="G18">
        <v>2032.72</v>
      </c>
      <c r="H18">
        <v>12118.5</v>
      </c>
    </row>
    <row r="19" spans="1:8" x14ac:dyDescent="0.3">
      <c r="A19" s="1">
        <v>45295</v>
      </c>
      <c r="B19" t="s">
        <v>10</v>
      </c>
      <c r="C19" t="s">
        <v>15</v>
      </c>
      <c r="D19">
        <v>16837</v>
      </c>
      <c r="E19">
        <v>551</v>
      </c>
      <c r="F19">
        <v>63</v>
      </c>
      <c r="G19">
        <v>1389.29</v>
      </c>
      <c r="H19">
        <v>8668.3799999999992</v>
      </c>
    </row>
    <row r="20" spans="1:8" x14ac:dyDescent="0.3">
      <c r="A20" s="1">
        <v>45295</v>
      </c>
      <c r="B20" t="s">
        <v>11</v>
      </c>
      <c r="C20" t="s">
        <v>16</v>
      </c>
      <c r="D20">
        <v>10056</v>
      </c>
      <c r="E20">
        <v>370</v>
      </c>
      <c r="F20">
        <v>54</v>
      </c>
      <c r="G20">
        <v>1144.06</v>
      </c>
      <c r="H20">
        <v>6447.07</v>
      </c>
    </row>
    <row r="21" spans="1:8" x14ac:dyDescent="0.3">
      <c r="A21" s="1">
        <v>45295</v>
      </c>
      <c r="B21" t="s">
        <v>12</v>
      </c>
      <c r="C21" t="s">
        <v>17</v>
      </c>
      <c r="D21">
        <v>38270</v>
      </c>
      <c r="E21">
        <v>2448</v>
      </c>
      <c r="F21">
        <v>206</v>
      </c>
      <c r="G21">
        <v>5413.45</v>
      </c>
      <c r="H21">
        <v>17928.080000000002</v>
      </c>
    </row>
    <row r="22" spans="1:8" x14ac:dyDescent="0.3">
      <c r="A22" s="1">
        <v>45296</v>
      </c>
      <c r="B22" t="s">
        <v>8</v>
      </c>
      <c r="C22" t="s">
        <v>13</v>
      </c>
      <c r="D22">
        <v>28419</v>
      </c>
      <c r="E22">
        <v>498</v>
      </c>
      <c r="F22">
        <v>11</v>
      </c>
      <c r="G22">
        <v>1254.1199999999999</v>
      </c>
      <c r="H22">
        <v>820.37</v>
      </c>
    </row>
    <row r="23" spans="1:8" x14ac:dyDescent="0.3">
      <c r="A23" s="1">
        <v>45296</v>
      </c>
      <c r="B23" t="s">
        <v>9</v>
      </c>
      <c r="C23" t="s">
        <v>14</v>
      </c>
      <c r="D23">
        <v>27403</v>
      </c>
      <c r="E23">
        <v>2014</v>
      </c>
      <c r="F23">
        <v>105</v>
      </c>
      <c r="G23">
        <v>3842.78</v>
      </c>
      <c r="H23">
        <v>12926.62</v>
      </c>
    </row>
    <row r="24" spans="1:8" x14ac:dyDescent="0.3">
      <c r="A24" s="1">
        <v>45296</v>
      </c>
      <c r="B24" t="s">
        <v>10</v>
      </c>
      <c r="C24" t="s">
        <v>15</v>
      </c>
      <c r="D24">
        <v>38827</v>
      </c>
      <c r="E24">
        <v>2950</v>
      </c>
      <c r="F24">
        <v>288</v>
      </c>
      <c r="G24">
        <v>7893.96</v>
      </c>
      <c r="H24">
        <v>39413.22</v>
      </c>
    </row>
    <row r="25" spans="1:8" x14ac:dyDescent="0.3">
      <c r="A25" s="1">
        <v>45296</v>
      </c>
      <c r="B25" t="s">
        <v>11</v>
      </c>
      <c r="C25" t="s">
        <v>16</v>
      </c>
      <c r="D25">
        <v>7693</v>
      </c>
      <c r="E25">
        <v>322</v>
      </c>
      <c r="F25">
        <v>15</v>
      </c>
      <c r="G25">
        <v>619.71</v>
      </c>
      <c r="H25">
        <v>2057.41</v>
      </c>
    </row>
    <row r="26" spans="1:8" x14ac:dyDescent="0.3">
      <c r="A26" s="1">
        <v>45296</v>
      </c>
      <c r="B26" t="s">
        <v>12</v>
      </c>
      <c r="C26" t="s">
        <v>17</v>
      </c>
      <c r="D26">
        <v>23047</v>
      </c>
      <c r="E26">
        <v>1533</v>
      </c>
      <c r="F26">
        <v>209</v>
      </c>
      <c r="G26">
        <v>2542.65</v>
      </c>
      <c r="H26">
        <v>10890.09</v>
      </c>
    </row>
    <row r="27" spans="1:8" x14ac:dyDescent="0.3">
      <c r="A27" s="1">
        <v>45297</v>
      </c>
      <c r="B27" t="s">
        <v>8</v>
      </c>
      <c r="C27" t="s">
        <v>13</v>
      </c>
      <c r="D27">
        <v>6306</v>
      </c>
      <c r="E27">
        <v>251</v>
      </c>
      <c r="F27">
        <v>31</v>
      </c>
      <c r="G27">
        <v>784.12</v>
      </c>
      <c r="H27">
        <v>1263.71</v>
      </c>
    </row>
    <row r="28" spans="1:8" x14ac:dyDescent="0.3">
      <c r="A28" s="1">
        <v>45297</v>
      </c>
      <c r="B28" t="s">
        <v>9</v>
      </c>
      <c r="C28" t="s">
        <v>14</v>
      </c>
      <c r="D28">
        <v>26959</v>
      </c>
      <c r="E28">
        <v>1277</v>
      </c>
      <c r="F28">
        <v>106</v>
      </c>
      <c r="G28">
        <v>3409.05</v>
      </c>
      <c r="H28">
        <v>7381.35</v>
      </c>
    </row>
    <row r="29" spans="1:8" x14ac:dyDescent="0.3">
      <c r="A29" s="1">
        <v>45297</v>
      </c>
      <c r="B29" t="s">
        <v>10</v>
      </c>
      <c r="C29" t="s">
        <v>15</v>
      </c>
      <c r="D29">
        <v>5663</v>
      </c>
      <c r="E29">
        <v>430</v>
      </c>
      <c r="F29">
        <v>26</v>
      </c>
      <c r="G29">
        <v>946.32</v>
      </c>
      <c r="H29">
        <v>3050.63</v>
      </c>
    </row>
    <row r="30" spans="1:8" x14ac:dyDescent="0.3">
      <c r="A30" s="1">
        <v>45297</v>
      </c>
      <c r="B30" t="s">
        <v>11</v>
      </c>
      <c r="C30" t="s">
        <v>16</v>
      </c>
      <c r="D30">
        <v>22675</v>
      </c>
      <c r="E30">
        <v>626</v>
      </c>
      <c r="F30">
        <v>52</v>
      </c>
      <c r="G30">
        <v>1009.34</v>
      </c>
      <c r="H30">
        <v>3709.29</v>
      </c>
    </row>
    <row r="31" spans="1:8" x14ac:dyDescent="0.3">
      <c r="A31" s="1">
        <v>45297</v>
      </c>
      <c r="B31" t="s">
        <v>12</v>
      </c>
      <c r="C31" t="s">
        <v>17</v>
      </c>
      <c r="D31">
        <v>32728</v>
      </c>
      <c r="E31">
        <v>938</v>
      </c>
      <c r="F31">
        <v>137</v>
      </c>
      <c r="G31">
        <v>1791.39</v>
      </c>
      <c r="H31">
        <v>5978.07</v>
      </c>
    </row>
    <row r="32" spans="1:8" x14ac:dyDescent="0.3">
      <c r="A32" s="1">
        <v>45298</v>
      </c>
      <c r="B32" t="s">
        <v>8</v>
      </c>
      <c r="C32" t="s">
        <v>13</v>
      </c>
      <c r="D32">
        <v>12392</v>
      </c>
      <c r="E32">
        <v>674</v>
      </c>
      <c r="F32">
        <v>73</v>
      </c>
      <c r="G32">
        <v>1505.39</v>
      </c>
      <c r="H32">
        <v>6515.7</v>
      </c>
    </row>
    <row r="33" spans="1:8" x14ac:dyDescent="0.3">
      <c r="A33" s="1">
        <v>45298</v>
      </c>
      <c r="B33" t="s">
        <v>9</v>
      </c>
      <c r="C33" t="s">
        <v>14</v>
      </c>
      <c r="D33">
        <v>31309</v>
      </c>
      <c r="E33">
        <v>843</v>
      </c>
      <c r="F33">
        <v>90</v>
      </c>
      <c r="G33">
        <v>2407.92</v>
      </c>
      <c r="H33">
        <v>5952.61</v>
      </c>
    </row>
    <row r="34" spans="1:8" x14ac:dyDescent="0.3">
      <c r="A34" s="1">
        <v>45298</v>
      </c>
      <c r="B34" t="s">
        <v>10</v>
      </c>
      <c r="C34" t="s">
        <v>15</v>
      </c>
      <c r="D34">
        <v>30342</v>
      </c>
      <c r="E34">
        <v>2009</v>
      </c>
      <c r="F34">
        <v>163</v>
      </c>
      <c r="G34">
        <v>6941.58</v>
      </c>
      <c r="H34">
        <v>13670.92</v>
      </c>
    </row>
    <row r="35" spans="1:8" x14ac:dyDescent="0.3">
      <c r="A35" s="1">
        <v>45298</v>
      </c>
      <c r="B35" t="s">
        <v>11</v>
      </c>
      <c r="C35" t="s">
        <v>16</v>
      </c>
      <c r="D35">
        <v>20087</v>
      </c>
      <c r="E35">
        <v>1323</v>
      </c>
      <c r="F35">
        <v>52</v>
      </c>
      <c r="G35">
        <v>2873.74</v>
      </c>
      <c r="H35">
        <v>6060.05</v>
      </c>
    </row>
    <row r="36" spans="1:8" x14ac:dyDescent="0.3">
      <c r="A36" s="1">
        <v>45298</v>
      </c>
      <c r="B36" t="s">
        <v>12</v>
      </c>
      <c r="C36" t="s">
        <v>17</v>
      </c>
      <c r="D36">
        <v>31370</v>
      </c>
      <c r="E36">
        <v>1611</v>
      </c>
      <c r="F36">
        <v>174</v>
      </c>
      <c r="G36">
        <v>1360.95</v>
      </c>
      <c r="H36">
        <v>16761.46</v>
      </c>
    </row>
    <row r="37" spans="1:8" x14ac:dyDescent="0.3">
      <c r="A37" s="1">
        <v>45299</v>
      </c>
      <c r="B37" t="s">
        <v>8</v>
      </c>
      <c r="C37" t="s">
        <v>13</v>
      </c>
      <c r="D37">
        <v>16411</v>
      </c>
      <c r="E37">
        <v>905</v>
      </c>
      <c r="F37">
        <v>38</v>
      </c>
      <c r="G37">
        <v>2412.31</v>
      </c>
      <c r="H37">
        <v>3136.55</v>
      </c>
    </row>
    <row r="38" spans="1:8" x14ac:dyDescent="0.3">
      <c r="A38" s="1">
        <v>45299</v>
      </c>
      <c r="B38" t="s">
        <v>9</v>
      </c>
      <c r="C38" t="s">
        <v>14</v>
      </c>
      <c r="D38">
        <v>16111</v>
      </c>
      <c r="E38">
        <v>316</v>
      </c>
      <c r="F38">
        <v>20</v>
      </c>
      <c r="G38">
        <v>349.62</v>
      </c>
      <c r="H38">
        <v>2834.33</v>
      </c>
    </row>
    <row r="39" spans="1:8" x14ac:dyDescent="0.3">
      <c r="A39" s="1">
        <v>45299</v>
      </c>
      <c r="B39" t="s">
        <v>10</v>
      </c>
      <c r="C39" t="s">
        <v>15</v>
      </c>
      <c r="D39">
        <v>25445</v>
      </c>
      <c r="E39">
        <v>1493</v>
      </c>
      <c r="F39">
        <v>74</v>
      </c>
      <c r="G39">
        <v>1899.66</v>
      </c>
      <c r="H39">
        <v>10954.85</v>
      </c>
    </row>
    <row r="40" spans="1:8" x14ac:dyDescent="0.3">
      <c r="A40" s="1">
        <v>45299</v>
      </c>
      <c r="B40" t="s">
        <v>11</v>
      </c>
      <c r="C40" t="s">
        <v>16</v>
      </c>
      <c r="D40">
        <v>21371</v>
      </c>
      <c r="E40">
        <v>1006</v>
      </c>
      <c r="F40">
        <v>51</v>
      </c>
      <c r="G40">
        <v>1057.69</v>
      </c>
      <c r="H40">
        <v>7073.38</v>
      </c>
    </row>
    <row r="41" spans="1:8" x14ac:dyDescent="0.3">
      <c r="A41" s="1">
        <v>45299</v>
      </c>
      <c r="B41" t="s">
        <v>12</v>
      </c>
      <c r="C41" t="s">
        <v>17</v>
      </c>
      <c r="D41">
        <v>34855</v>
      </c>
      <c r="E41">
        <v>1893</v>
      </c>
      <c r="F41">
        <v>121</v>
      </c>
      <c r="G41">
        <v>3299.25</v>
      </c>
      <c r="H41">
        <v>14502.47</v>
      </c>
    </row>
    <row r="42" spans="1:8" x14ac:dyDescent="0.3">
      <c r="A42" s="1">
        <v>45300</v>
      </c>
      <c r="B42" t="s">
        <v>8</v>
      </c>
      <c r="C42" t="s">
        <v>13</v>
      </c>
      <c r="D42">
        <v>6154</v>
      </c>
      <c r="E42">
        <v>430</v>
      </c>
      <c r="F42">
        <v>31</v>
      </c>
      <c r="G42">
        <v>1374.7</v>
      </c>
      <c r="H42">
        <v>4141.67</v>
      </c>
    </row>
    <row r="43" spans="1:8" x14ac:dyDescent="0.3">
      <c r="A43" s="1">
        <v>45300</v>
      </c>
      <c r="B43" t="s">
        <v>9</v>
      </c>
      <c r="C43" t="s">
        <v>14</v>
      </c>
      <c r="D43">
        <v>37711</v>
      </c>
      <c r="E43">
        <v>2450</v>
      </c>
      <c r="F43">
        <v>262</v>
      </c>
      <c r="G43">
        <v>5801.24</v>
      </c>
      <c r="H43">
        <v>21209.19</v>
      </c>
    </row>
    <row r="44" spans="1:8" x14ac:dyDescent="0.3">
      <c r="A44" s="1">
        <v>45300</v>
      </c>
      <c r="B44" t="s">
        <v>10</v>
      </c>
      <c r="C44" t="s">
        <v>15</v>
      </c>
      <c r="D44">
        <v>21482</v>
      </c>
      <c r="E44">
        <v>1678</v>
      </c>
      <c r="F44">
        <v>95</v>
      </c>
      <c r="G44">
        <v>2725.88</v>
      </c>
      <c r="H44">
        <v>8874.66</v>
      </c>
    </row>
    <row r="45" spans="1:8" x14ac:dyDescent="0.3">
      <c r="A45" s="1">
        <v>45300</v>
      </c>
      <c r="B45" t="s">
        <v>11</v>
      </c>
      <c r="C45" t="s">
        <v>16</v>
      </c>
      <c r="D45">
        <v>33643</v>
      </c>
      <c r="E45">
        <v>2013</v>
      </c>
      <c r="F45">
        <v>102</v>
      </c>
      <c r="G45">
        <v>3378.98</v>
      </c>
      <c r="H45">
        <v>12455.63</v>
      </c>
    </row>
    <row r="46" spans="1:8" x14ac:dyDescent="0.3">
      <c r="A46" s="1">
        <v>45300</v>
      </c>
      <c r="B46" t="s">
        <v>12</v>
      </c>
      <c r="C46" t="s">
        <v>17</v>
      </c>
      <c r="D46">
        <v>27399</v>
      </c>
      <c r="E46">
        <v>1701</v>
      </c>
      <c r="F46">
        <v>193</v>
      </c>
      <c r="G46">
        <v>2775.63</v>
      </c>
      <c r="H46">
        <v>19238.13</v>
      </c>
    </row>
    <row r="47" spans="1:8" x14ac:dyDescent="0.3">
      <c r="A47" s="1">
        <v>45301</v>
      </c>
      <c r="B47" t="s">
        <v>8</v>
      </c>
      <c r="C47" t="s">
        <v>13</v>
      </c>
      <c r="D47">
        <v>24830</v>
      </c>
      <c r="E47">
        <v>683</v>
      </c>
      <c r="F47">
        <v>66</v>
      </c>
      <c r="G47">
        <v>2351.58</v>
      </c>
      <c r="H47">
        <v>6173.75</v>
      </c>
    </row>
    <row r="48" spans="1:8" x14ac:dyDescent="0.3">
      <c r="A48" s="1">
        <v>45301</v>
      </c>
      <c r="B48" t="s">
        <v>9</v>
      </c>
      <c r="C48" t="s">
        <v>14</v>
      </c>
      <c r="D48">
        <v>10895</v>
      </c>
      <c r="E48">
        <v>590</v>
      </c>
      <c r="F48">
        <v>72</v>
      </c>
      <c r="G48">
        <v>1272.7</v>
      </c>
      <c r="H48">
        <v>7449.08</v>
      </c>
    </row>
    <row r="49" spans="1:8" x14ac:dyDescent="0.3">
      <c r="A49" s="1">
        <v>45301</v>
      </c>
      <c r="B49" t="s">
        <v>10</v>
      </c>
      <c r="C49" t="s">
        <v>15</v>
      </c>
      <c r="D49">
        <v>10600</v>
      </c>
      <c r="E49">
        <v>250</v>
      </c>
      <c r="F49">
        <v>28</v>
      </c>
      <c r="G49">
        <v>389.52</v>
      </c>
      <c r="H49">
        <v>1194.8900000000001</v>
      </c>
    </row>
    <row r="50" spans="1:8" x14ac:dyDescent="0.3">
      <c r="A50" s="1">
        <v>45301</v>
      </c>
      <c r="B50" t="s">
        <v>11</v>
      </c>
      <c r="C50" t="s">
        <v>16</v>
      </c>
      <c r="D50">
        <v>13208</v>
      </c>
      <c r="E50">
        <v>1051</v>
      </c>
      <c r="F50">
        <v>85</v>
      </c>
      <c r="G50">
        <v>1634.11</v>
      </c>
      <c r="H50">
        <v>11660.67</v>
      </c>
    </row>
    <row r="51" spans="1:8" x14ac:dyDescent="0.3">
      <c r="A51" s="1">
        <v>45301</v>
      </c>
      <c r="B51" t="s">
        <v>12</v>
      </c>
      <c r="C51" t="s">
        <v>17</v>
      </c>
      <c r="D51">
        <v>37635</v>
      </c>
      <c r="E51">
        <v>417</v>
      </c>
      <c r="F51">
        <v>58</v>
      </c>
      <c r="G51">
        <v>815.69</v>
      </c>
      <c r="H51">
        <v>8487.26</v>
      </c>
    </row>
    <row r="52" spans="1:8" x14ac:dyDescent="0.3">
      <c r="A52" s="1">
        <v>45302</v>
      </c>
      <c r="B52" t="s">
        <v>8</v>
      </c>
      <c r="C52" t="s">
        <v>13</v>
      </c>
      <c r="D52">
        <v>5699</v>
      </c>
      <c r="E52">
        <v>397</v>
      </c>
      <c r="F52">
        <v>23</v>
      </c>
      <c r="G52">
        <v>730.39</v>
      </c>
      <c r="H52">
        <v>3073.38</v>
      </c>
    </row>
    <row r="53" spans="1:8" x14ac:dyDescent="0.3">
      <c r="A53" s="1">
        <v>45302</v>
      </c>
      <c r="B53" t="s">
        <v>9</v>
      </c>
      <c r="C53" t="s">
        <v>14</v>
      </c>
      <c r="D53">
        <v>24778</v>
      </c>
      <c r="E53">
        <v>541</v>
      </c>
      <c r="F53">
        <v>49</v>
      </c>
      <c r="G53">
        <v>1800.24</v>
      </c>
      <c r="H53">
        <v>5711.6</v>
      </c>
    </row>
    <row r="54" spans="1:8" x14ac:dyDescent="0.3">
      <c r="A54" s="1">
        <v>45302</v>
      </c>
      <c r="B54" t="s">
        <v>10</v>
      </c>
      <c r="C54" t="s">
        <v>15</v>
      </c>
      <c r="D54">
        <v>39663</v>
      </c>
      <c r="E54">
        <v>592</v>
      </c>
      <c r="F54">
        <v>27</v>
      </c>
      <c r="G54">
        <v>1546.36</v>
      </c>
      <c r="H54">
        <v>2145.1799999999998</v>
      </c>
    </row>
    <row r="55" spans="1:8" x14ac:dyDescent="0.3">
      <c r="A55" s="1">
        <v>45302</v>
      </c>
      <c r="B55" t="s">
        <v>11</v>
      </c>
      <c r="C55" t="s">
        <v>16</v>
      </c>
      <c r="D55">
        <v>21538</v>
      </c>
      <c r="E55">
        <v>660</v>
      </c>
      <c r="F55">
        <v>40</v>
      </c>
      <c r="G55">
        <v>2040.33</v>
      </c>
      <c r="H55">
        <v>2201.13</v>
      </c>
    </row>
    <row r="56" spans="1:8" x14ac:dyDescent="0.3">
      <c r="A56" s="1">
        <v>45302</v>
      </c>
      <c r="B56" t="s">
        <v>12</v>
      </c>
      <c r="C56" t="s">
        <v>17</v>
      </c>
      <c r="D56">
        <v>17533</v>
      </c>
      <c r="E56">
        <v>616</v>
      </c>
      <c r="F56">
        <v>35</v>
      </c>
      <c r="G56">
        <v>1838.93</v>
      </c>
      <c r="H56">
        <v>4518.9399999999996</v>
      </c>
    </row>
    <row r="57" spans="1:8" x14ac:dyDescent="0.3">
      <c r="A57" s="1">
        <v>45303</v>
      </c>
      <c r="B57" t="s">
        <v>8</v>
      </c>
      <c r="C57" t="s">
        <v>13</v>
      </c>
      <c r="D57">
        <v>34592</v>
      </c>
      <c r="E57">
        <v>1826</v>
      </c>
      <c r="F57">
        <v>55</v>
      </c>
      <c r="G57">
        <v>1486.36</v>
      </c>
      <c r="H57">
        <v>5998.76</v>
      </c>
    </row>
    <row r="58" spans="1:8" x14ac:dyDescent="0.3">
      <c r="A58" s="1">
        <v>45303</v>
      </c>
      <c r="B58" t="s">
        <v>9</v>
      </c>
      <c r="C58" t="s">
        <v>14</v>
      </c>
      <c r="D58">
        <v>7368</v>
      </c>
      <c r="E58">
        <v>110</v>
      </c>
      <c r="F58">
        <v>7</v>
      </c>
      <c r="G58">
        <v>103.08</v>
      </c>
      <c r="H58">
        <v>962.7</v>
      </c>
    </row>
    <row r="59" spans="1:8" x14ac:dyDescent="0.3">
      <c r="A59" s="1">
        <v>45303</v>
      </c>
      <c r="B59" t="s">
        <v>10</v>
      </c>
      <c r="C59" t="s">
        <v>15</v>
      </c>
      <c r="D59">
        <v>18403</v>
      </c>
      <c r="E59">
        <v>929</v>
      </c>
      <c r="F59">
        <v>71</v>
      </c>
      <c r="G59">
        <v>2428.84</v>
      </c>
      <c r="H59">
        <v>5402.87</v>
      </c>
    </row>
    <row r="60" spans="1:8" x14ac:dyDescent="0.3">
      <c r="A60" s="1">
        <v>45303</v>
      </c>
      <c r="B60" t="s">
        <v>11</v>
      </c>
      <c r="C60" t="s">
        <v>16</v>
      </c>
      <c r="D60">
        <v>27677</v>
      </c>
      <c r="E60">
        <v>1421</v>
      </c>
      <c r="F60">
        <v>34</v>
      </c>
      <c r="G60">
        <v>1280.0899999999999</v>
      </c>
      <c r="H60">
        <v>4436.53</v>
      </c>
    </row>
    <row r="61" spans="1:8" x14ac:dyDescent="0.3">
      <c r="A61" s="1">
        <v>45303</v>
      </c>
      <c r="B61" t="s">
        <v>12</v>
      </c>
      <c r="C61" t="s">
        <v>17</v>
      </c>
      <c r="D61">
        <v>34749</v>
      </c>
      <c r="E61">
        <v>1653</v>
      </c>
      <c r="F61">
        <v>103</v>
      </c>
      <c r="G61">
        <v>5017.26</v>
      </c>
      <c r="H61">
        <v>7196.58</v>
      </c>
    </row>
    <row r="62" spans="1:8" x14ac:dyDescent="0.3">
      <c r="A62" s="1">
        <v>45304</v>
      </c>
      <c r="B62" t="s">
        <v>8</v>
      </c>
      <c r="C62" t="s">
        <v>13</v>
      </c>
      <c r="D62">
        <v>26606</v>
      </c>
      <c r="E62">
        <v>425</v>
      </c>
      <c r="F62">
        <v>11</v>
      </c>
      <c r="G62">
        <v>949.73</v>
      </c>
      <c r="H62">
        <v>1094.17</v>
      </c>
    </row>
    <row r="63" spans="1:8" x14ac:dyDescent="0.3">
      <c r="A63" s="1">
        <v>45304</v>
      </c>
      <c r="B63" t="s">
        <v>9</v>
      </c>
      <c r="C63" t="s">
        <v>14</v>
      </c>
      <c r="D63">
        <v>12079</v>
      </c>
      <c r="E63">
        <v>734</v>
      </c>
      <c r="F63">
        <v>107</v>
      </c>
      <c r="G63">
        <v>1610.4</v>
      </c>
      <c r="H63">
        <v>8081.2</v>
      </c>
    </row>
    <row r="64" spans="1:8" x14ac:dyDescent="0.3">
      <c r="A64" s="1">
        <v>45304</v>
      </c>
      <c r="B64" t="s">
        <v>10</v>
      </c>
      <c r="C64" t="s">
        <v>15</v>
      </c>
      <c r="D64">
        <v>26136</v>
      </c>
      <c r="E64">
        <v>991</v>
      </c>
      <c r="F64">
        <v>75</v>
      </c>
      <c r="G64">
        <v>2783.63</v>
      </c>
      <c r="H64">
        <v>5069.6000000000004</v>
      </c>
    </row>
    <row r="65" spans="1:8" x14ac:dyDescent="0.3">
      <c r="A65" s="1">
        <v>45304</v>
      </c>
      <c r="B65" t="s">
        <v>11</v>
      </c>
      <c r="C65" t="s">
        <v>16</v>
      </c>
      <c r="D65">
        <v>37217</v>
      </c>
      <c r="E65">
        <v>2880</v>
      </c>
      <c r="F65">
        <v>370</v>
      </c>
      <c r="G65">
        <v>7715.9</v>
      </c>
      <c r="H65">
        <v>31444.38</v>
      </c>
    </row>
    <row r="66" spans="1:8" x14ac:dyDescent="0.3">
      <c r="A66" s="1">
        <v>45304</v>
      </c>
      <c r="B66" t="s">
        <v>12</v>
      </c>
      <c r="C66" t="s">
        <v>17</v>
      </c>
      <c r="D66">
        <v>6081</v>
      </c>
      <c r="E66">
        <v>450</v>
      </c>
      <c r="F66">
        <v>34</v>
      </c>
      <c r="G66">
        <v>651.34</v>
      </c>
      <c r="H66">
        <v>1711.09</v>
      </c>
    </row>
    <row r="67" spans="1:8" x14ac:dyDescent="0.3">
      <c r="A67" s="1">
        <v>45305</v>
      </c>
      <c r="B67" t="s">
        <v>8</v>
      </c>
      <c r="C67" t="s">
        <v>13</v>
      </c>
      <c r="D67">
        <v>25056</v>
      </c>
      <c r="E67">
        <v>1408</v>
      </c>
      <c r="F67">
        <v>79</v>
      </c>
      <c r="G67">
        <v>4756.42</v>
      </c>
      <c r="H67">
        <v>9572.32</v>
      </c>
    </row>
    <row r="68" spans="1:8" x14ac:dyDescent="0.3">
      <c r="A68" s="1">
        <v>45305</v>
      </c>
      <c r="B68" t="s">
        <v>9</v>
      </c>
      <c r="C68" t="s">
        <v>14</v>
      </c>
      <c r="D68">
        <v>14662</v>
      </c>
      <c r="E68">
        <v>593</v>
      </c>
      <c r="F68">
        <v>68</v>
      </c>
      <c r="G68">
        <v>550.79999999999995</v>
      </c>
      <c r="H68">
        <v>6953.96</v>
      </c>
    </row>
    <row r="69" spans="1:8" x14ac:dyDescent="0.3">
      <c r="A69" s="1">
        <v>45305</v>
      </c>
      <c r="B69" t="s">
        <v>10</v>
      </c>
      <c r="C69" t="s">
        <v>15</v>
      </c>
      <c r="D69">
        <v>8506</v>
      </c>
      <c r="E69">
        <v>536</v>
      </c>
      <c r="F69">
        <v>11</v>
      </c>
      <c r="G69">
        <v>596.78</v>
      </c>
      <c r="H69">
        <v>495.66</v>
      </c>
    </row>
    <row r="70" spans="1:8" x14ac:dyDescent="0.3">
      <c r="A70" s="1">
        <v>45305</v>
      </c>
      <c r="B70" t="s">
        <v>11</v>
      </c>
      <c r="C70" t="s">
        <v>16</v>
      </c>
      <c r="D70">
        <v>18296</v>
      </c>
      <c r="E70">
        <v>581</v>
      </c>
      <c r="F70">
        <v>85</v>
      </c>
      <c r="G70">
        <v>739.84</v>
      </c>
      <c r="H70">
        <v>3560.46</v>
      </c>
    </row>
    <row r="71" spans="1:8" x14ac:dyDescent="0.3">
      <c r="A71" s="1">
        <v>45305</v>
      </c>
      <c r="B71" t="s">
        <v>12</v>
      </c>
      <c r="C71" t="s">
        <v>17</v>
      </c>
      <c r="D71">
        <v>34222</v>
      </c>
      <c r="E71">
        <v>1171</v>
      </c>
      <c r="F71">
        <v>94</v>
      </c>
      <c r="G71">
        <v>2991.19</v>
      </c>
      <c r="H71">
        <v>4256.93</v>
      </c>
    </row>
    <row r="72" spans="1:8" x14ac:dyDescent="0.3">
      <c r="A72" s="1">
        <v>45306</v>
      </c>
      <c r="B72" t="s">
        <v>8</v>
      </c>
      <c r="C72" t="s">
        <v>13</v>
      </c>
      <c r="D72">
        <v>19069</v>
      </c>
      <c r="E72">
        <v>1038</v>
      </c>
      <c r="F72">
        <v>26</v>
      </c>
      <c r="G72">
        <v>1880.29</v>
      </c>
      <c r="H72">
        <v>2829.96</v>
      </c>
    </row>
    <row r="73" spans="1:8" x14ac:dyDescent="0.3">
      <c r="A73" s="1">
        <v>45306</v>
      </c>
      <c r="B73" t="s">
        <v>9</v>
      </c>
      <c r="C73" t="s">
        <v>14</v>
      </c>
      <c r="D73">
        <v>14823</v>
      </c>
      <c r="E73">
        <v>1036</v>
      </c>
      <c r="F73">
        <v>109</v>
      </c>
      <c r="G73">
        <v>1284.56</v>
      </c>
      <c r="H73">
        <v>5206.12</v>
      </c>
    </row>
    <row r="74" spans="1:8" x14ac:dyDescent="0.3">
      <c r="A74" s="1">
        <v>45306</v>
      </c>
      <c r="B74" t="s">
        <v>10</v>
      </c>
      <c r="C74" t="s">
        <v>15</v>
      </c>
      <c r="D74">
        <v>35977</v>
      </c>
      <c r="E74">
        <v>426</v>
      </c>
      <c r="F74">
        <v>40</v>
      </c>
      <c r="G74">
        <v>1422.25</v>
      </c>
      <c r="H74">
        <v>4132.09</v>
      </c>
    </row>
    <row r="75" spans="1:8" x14ac:dyDescent="0.3">
      <c r="A75" s="1">
        <v>45306</v>
      </c>
      <c r="B75" t="s">
        <v>11</v>
      </c>
      <c r="C75" t="s">
        <v>16</v>
      </c>
      <c r="D75">
        <v>11833</v>
      </c>
      <c r="E75">
        <v>593</v>
      </c>
      <c r="F75">
        <v>21</v>
      </c>
      <c r="G75">
        <v>1773.22</v>
      </c>
      <c r="H75">
        <v>2735.68</v>
      </c>
    </row>
    <row r="76" spans="1:8" x14ac:dyDescent="0.3">
      <c r="A76" s="1">
        <v>45306</v>
      </c>
      <c r="B76" t="s">
        <v>12</v>
      </c>
      <c r="C76" t="s">
        <v>17</v>
      </c>
      <c r="D76">
        <v>37320</v>
      </c>
      <c r="E76">
        <v>2884</v>
      </c>
      <c r="F76">
        <v>397</v>
      </c>
      <c r="G76">
        <v>3831.79</v>
      </c>
      <c r="H76">
        <v>18909.009999999998</v>
      </c>
    </row>
    <row r="77" spans="1:8" x14ac:dyDescent="0.3">
      <c r="A77" s="1">
        <v>45307</v>
      </c>
      <c r="B77" t="s">
        <v>8</v>
      </c>
      <c r="C77" t="s">
        <v>13</v>
      </c>
      <c r="D77">
        <v>8373</v>
      </c>
      <c r="E77">
        <v>94</v>
      </c>
      <c r="F77">
        <v>3</v>
      </c>
      <c r="G77">
        <v>248.55</v>
      </c>
      <c r="H77">
        <v>143.49</v>
      </c>
    </row>
    <row r="78" spans="1:8" x14ac:dyDescent="0.3">
      <c r="A78" s="1">
        <v>45307</v>
      </c>
      <c r="B78" t="s">
        <v>9</v>
      </c>
      <c r="C78" t="s">
        <v>14</v>
      </c>
      <c r="D78">
        <v>30351</v>
      </c>
      <c r="E78">
        <v>1122</v>
      </c>
      <c r="F78">
        <v>121</v>
      </c>
      <c r="G78">
        <v>1929.49</v>
      </c>
      <c r="H78">
        <v>8309.84</v>
      </c>
    </row>
    <row r="79" spans="1:8" x14ac:dyDescent="0.3">
      <c r="A79" s="1">
        <v>45307</v>
      </c>
      <c r="B79" t="s">
        <v>10</v>
      </c>
      <c r="C79" t="s">
        <v>15</v>
      </c>
      <c r="D79">
        <v>25358</v>
      </c>
      <c r="E79">
        <v>463</v>
      </c>
      <c r="F79">
        <v>51</v>
      </c>
      <c r="G79">
        <v>1156.6400000000001</v>
      </c>
      <c r="H79">
        <v>6962.62</v>
      </c>
    </row>
    <row r="80" spans="1:8" x14ac:dyDescent="0.3">
      <c r="A80" s="1">
        <v>45307</v>
      </c>
      <c r="B80" t="s">
        <v>11</v>
      </c>
      <c r="C80" t="s">
        <v>16</v>
      </c>
      <c r="D80">
        <v>38496</v>
      </c>
      <c r="E80">
        <v>2550</v>
      </c>
      <c r="F80">
        <v>144</v>
      </c>
      <c r="G80">
        <v>3261.67</v>
      </c>
      <c r="H80">
        <v>17649.740000000002</v>
      </c>
    </row>
    <row r="81" spans="1:8" x14ac:dyDescent="0.3">
      <c r="A81" s="1">
        <v>45307</v>
      </c>
      <c r="B81" t="s">
        <v>12</v>
      </c>
      <c r="C81" t="s">
        <v>17</v>
      </c>
      <c r="D81">
        <v>22506</v>
      </c>
      <c r="E81">
        <v>875</v>
      </c>
      <c r="F81">
        <v>59</v>
      </c>
      <c r="G81">
        <v>2534.2800000000002</v>
      </c>
      <c r="H81">
        <v>4571.8100000000004</v>
      </c>
    </row>
    <row r="82" spans="1:8" x14ac:dyDescent="0.3">
      <c r="A82" s="1">
        <v>45308</v>
      </c>
      <c r="B82" t="s">
        <v>8</v>
      </c>
      <c r="C82" t="s">
        <v>13</v>
      </c>
      <c r="D82">
        <v>12357</v>
      </c>
      <c r="E82">
        <v>609</v>
      </c>
      <c r="F82">
        <v>31</v>
      </c>
      <c r="G82">
        <v>1605.07</v>
      </c>
      <c r="H82">
        <v>3763.09</v>
      </c>
    </row>
    <row r="83" spans="1:8" x14ac:dyDescent="0.3">
      <c r="A83" s="1">
        <v>45308</v>
      </c>
      <c r="B83" t="s">
        <v>9</v>
      </c>
      <c r="C83" t="s">
        <v>14</v>
      </c>
      <c r="D83">
        <v>7914</v>
      </c>
      <c r="E83">
        <v>136</v>
      </c>
      <c r="F83">
        <v>18</v>
      </c>
      <c r="G83">
        <v>294.33</v>
      </c>
      <c r="H83">
        <v>2356.39</v>
      </c>
    </row>
    <row r="84" spans="1:8" x14ac:dyDescent="0.3">
      <c r="A84" s="1">
        <v>45308</v>
      </c>
      <c r="B84" t="s">
        <v>10</v>
      </c>
      <c r="C84" t="s">
        <v>15</v>
      </c>
      <c r="D84">
        <v>5698</v>
      </c>
      <c r="E84">
        <v>96</v>
      </c>
      <c r="F84">
        <v>2</v>
      </c>
      <c r="G84">
        <v>325.25</v>
      </c>
      <c r="H84">
        <v>266.37</v>
      </c>
    </row>
    <row r="85" spans="1:8" x14ac:dyDescent="0.3">
      <c r="A85" s="1">
        <v>45308</v>
      </c>
      <c r="B85" t="s">
        <v>11</v>
      </c>
      <c r="C85" t="s">
        <v>16</v>
      </c>
      <c r="D85">
        <v>9360</v>
      </c>
      <c r="E85">
        <v>302</v>
      </c>
      <c r="F85">
        <v>43</v>
      </c>
      <c r="G85">
        <v>1016.73</v>
      </c>
      <c r="H85">
        <v>4432.3599999999997</v>
      </c>
    </row>
    <row r="86" spans="1:8" x14ac:dyDescent="0.3">
      <c r="A86" s="1">
        <v>45308</v>
      </c>
      <c r="B86" t="s">
        <v>12</v>
      </c>
      <c r="C86" t="s">
        <v>17</v>
      </c>
      <c r="D86">
        <v>10486</v>
      </c>
      <c r="E86">
        <v>165</v>
      </c>
      <c r="F86">
        <v>5</v>
      </c>
      <c r="G86">
        <v>400.39</v>
      </c>
      <c r="H86">
        <v>504.54</v>
      </c>
    </row>
    <row r="87" spans="1:8" x14ac:dyDescent="0.3">
      <c r="A87" s="1">
        <v>45309</v>
      </c>
      <c r="B87" t="s">
        <v>8</v>
      </c>
      <c r="C87" t="s">
        <v>13</v>
      </c>
      <c r="D87">
        <v>26972</v>
      </c>
      <c r="E87">
        <v>1690</v>
      </c>
      <c r="F87">
        <v>207</v>
      </c>
      <c r="G87">
        <v>4955.03</v>
      </c>
      <c r="H87">
        <v>10356.76</v>
      </c>
    </row>
    <row r="88" spans="1:8" x14ac:dyDescent="0.3">
      <c r="A88" s="1">
        <v>45309</v>
      </c>
      <c r="B88" t="s">
        <v>9</v>
      </c>
      <c r="C88" t="s">
        <v>14</v>
      </c>
      <c r="D88">
        <v>26545</v>
      </c>
      <c r="E88">
        <v>2075</v>
      </c>
      <c r="F88">
        <v>310</v>
      </c>
      <c r="G88">
        <v>1973.02</v>
      </c>
      <c r="H88">
        <v>37532.910000000003</v>
      </c>
    </row>
    <row r="89" spans="1:8" x14ac:dyDescent="0.3">
      <c r="A89" s="1">
        <v>45309</v>
      </c>
      <c r="B89" t="s">
        <v>10</v>
      </c>
      <c r="C89" t="s">
        <v>15</v>
      </c>
      <c r="D89">
        <v>13924</v>
      </c>
      <c r="E89">
        <v>481</v>
      </c>
      <c r="F89">
        <v>16</v>
      </c>
      <c r="G89">
        <v>570.5</v>
      </c>
      <c r="H89">
        <v>1980.26</v>
      </c>
    </row>
    <row r="90" spans="1:8" x14ac:dyDescent="0.3">
      <c r="A90" s="1">
        <v>45309</v>
      </c>
      <c r="B90" t="s">
        <v>11</v>
      </c>
      <c r="C90" t="s">
        <v>16</v>
      </c>
      <c r="D90">
        <v>12056</v>
      </c>
      <c r="E90">
        <v>205</v>
      </c>
      <c r="F90">
        <v>6</v>
      </c>
      <c r="G90">
        <v>551.99</v>
      </c>
      <c r="H90">
        <v>288.02</v>
      </c>
    </row>
    <row r="91" spans="1:8" x14ac:dyDescent="0.3">
      <c r="A91" s="1">
        <v>45309</v>
      </c>
      <c r="B91" t="s">
        <v>12</v>
      </c>
      <c r="C91" t="s">
        <v>17</v>
      </c>
      <c r="D91">
        <v>32569</v>
      </c>
      <c r="E91">
        <v>2359</v>
      </c>
      <c r="F91">
        <v>92</v>
      </c>
      <c r="G91">
        <v>5156.7299999999996</v>
      </c>
      <c r="H91">
        <v>6040.27</v>
      </c>
    </row>
    <row r="92" spans="1:8" x14ac:dyDescent="0.3">
      <c r="A92" s="1">
        <v>45310</v>
      </c>
      <c r="B92" t="s">
        <v>8</v>
      </c>
      <c r="C92" t="s">
        <v>13</v>
      </c>
      <c r="D92">
        <v>33295</v>
      </c>
      <c r="E92">
        <v>1205</v>
      </c>
      <c r="F92">
        <v>82</v>
      </c>
      <c r="G92">
        <v>3608.44</v>
      </c>
      <c r="H92">
        <v>11824.18</v>
      </c>
    </row>
    <row r="93" spans="1:8" x14ac:dyDescent="0.3">
      <c r="A93" s="1">
        <v>45310</v>
      </c>
      <c r="B93" t="s">
        <v>9</v>
      </c>
      <c r="C93" t="s">
        <v>14</v>
      </c>
      <c r="D93">
        <v>6324</v>
      </c>
      <c r="E93">
        <v>396</v>
      </c>
      <c r="F93">
        <v>27</v>
      </c>
      <c r="G93">
        <v>406.08</v>
      </c>
      <c r="H93">
        <v>3388.13</v>
      </c>
    </row>
    <row r="94" spans="1:8" x14ac:dyDescent="0.3">
      <c r="A94" s="1">
        <v>45310</v>
      </c>
      <c r="B94" t="s">
        <v>10</v>
      </c>
      <c r="C94" t="s">
        <v>15</v>
      </c>
      <c r="D94">
        <v>31790</v>
      </c>
      <c r="E94">
        <v>1261</v>
      </c>
      <c r="F94">
        <v>173</v>
      </c>
      <c r="G94">
        <v>1387.39</v>
      </c>
      <c r="H94">
        <v>16294.66</v>
      </c>
    </row>
    <row r="95" spans="1:8" x14ac:dyDescent="0.3">
      <c r="A95" s="1">
        <v>45310</v>
      </c>
      <c r="B95" t="s">
        <v>11</v>
      </c>
      <c r="C95" t="s">
        <v>16</v>
      </c>
      <c r="D95">
        <v>9748</v>
      </c>
      <c r="E95">
        <v>373</v>
      </c>
      <c r="F95">
        <v>35</v>
      </c>
      <c r="G95">
        <v>1044.6300000000001</v>
      </c>
      <c r="H95">
        <v>4353.7</v>
      </c>
    </row>
    <row r="96" spans="1:8" x14ac:dyDescent="0.3">
      <c r="A96" s="1">
        <v>45310</v>
      </c>
      <c r="B96" t="s">
        <v>12</v>
      </c>
      <c r="C96" t="s">
        <v>17</v>
      </c>
      <c r="D96">
        <v>30470</v>
      </c>
      <c r="E96">
        <v>1689</v>
      </c>
      <c r="F96">
        <v>197</v>
      </c>
      <c r="G96">
        <v>4011.54</v>
      </c>
      <c r="H96">
        <v>28730.28</v>
      </c>
    </row>
    <row r="97" spans="1:8" x14ac:dyDescent="0.3">
      <c r="A97" s="1">
        <v>45311</v>
      </c>
      <c r="B97" t="s">
        <v>8</v>
      </c>
      <c r="C97" t="s">
        <v>13</v>
      </c>
      <c r="D97">
        <v>38982</v>
      </c>
      <c r="E97">
        <v>1693</v>
      </c>
      <c r="F97">
        <v>52</v>
      </c>
      <c r="G97">
        <v>3769.63</v>
      </c>
      <c r="H97">
        <v>4575.84</v>
      </c>
    </row>
    <row r="98" spans="1:8" x14ac:dyDescent="0.3">
      <c r="A98" s="1">
        <v>45311</v>
      </c>
      <c r="B98" t="s">
        <v>9</v>
      </c>
      <c r="C98" t="s">
        <v>14</v>
      </c>
      <c r="D98">
        <v>7105</v>
      </c>
      <c r="E98">
        <v>77</v>
      </c>
      <c r="F98">
        <v>11</v>
      </c>
      <c r="G98">
        <v>70.569999999999993</v>
      </c>
      <c r="H98">
        <v>1518.28</v>
      </c>
    </row>
    <row r="99" spans="1:8" x14ac:dyDescent="0.3">
      <c r="A99" s="1">
        <v>45311</v>
      </c>
      <c r="B99" t="s">
        <v>10</v>
      </c>
      <c r="C99" t="s">
        <v>15</v>
      </c>
      <c r="D99">
        <v>32509</v>
      </c>
      <c r="E99">
        <v>2429</v>
      </c>
      <c r="F99">
        <v>338</v>
      </c>
      <c r="G99">
        <v>3602.39</v>
      </c>
      <c r="H99">
        <v>39375.39</v>
      </c>
    </row>
    <row r="100" spans="1:8" x14ac:dyDescent="0.3">
      <c r="A100" s="1">
        <v>45311</v>
      </c>
      <c r="B100" t="s">
        <v>11</v>
      </c>
      <c r="C100" t="s">
        <v>16</v>
      </c>
      <c r="D100">
        <v>11190</v>
      </c>
      <c r="E100">
        <v>604</v>
      </c>
      <c r="F100">
        <v>66</v>
      </c>
      <c r="G100">
        <v>1224.47</v>
      </c>
      <c r="H100">
        <v>7196.07</v>
      </c>
    </row>
    <row r="101" spans="1:8" x14ac:dyDescent="0.3">
      <c r="A101" s="1">
        <v>45311</v>
      </c>
      <c r="B101" t="s">
        <v>12</v>
      </c>
      <c r="C101" t="s">
        <v>17</v>
      </c>
      <c r="D101">
        <v>8330</v>
      </c>
      <c r="E101">
        <v>608</v>
      </c>
      <c r="F101">
        <v>15</v>
      </c>
      <c r="G101">
        <v>947.63</v>
      </c>
      <c r="H101">
        <v>2168.1799999999998</v>
      </c>
    </row>
    <row r="102" spans="1:8" x14ac:dyDescent="0.3">
      <c r="A102" s="1">
        <v>45312</v>
      </c>
      <c r="B102" t="s">
        <v>8</v>
      </c>
      <c r="C102" t="s">
        <v>13</v>
      </c>
      <c r="D102">
        <v>26447</v>
      </c>
      <c r="E102">
        <v>994</v>
      </c>
      <c r="F102">
        <v>33</v>
      </c>
      <c r="G102">
        <v>1696.04</v>
      </c>
      <c r="H102">
        <v>1935.94</v>
      </c>
    </row>
    <row r="103" spans="1:8" x14ac:dyDescent="0.3">
      <c r="A103" s="1">
        <v>45312</v>
      </c>
      <c r="B103" t="s">
        <v>9</v>
      </c>
      <c r="C103" t="s">
        <v>14</v>
      </c>
      <c r="D103">
        <v>24129</v>
      </c>
      <c r="E103">
        <v>628</v>
      </c>
      <c r="F103">
        <v>34</v>
      </c>
      <c r="G103">
        <v>1113.4000000000001</v>
      </c>
      <c r="H103">
        <v>2332.21</v>
      </c>
    </row>
    <row r="104" spans="1:8" x14ac:dyDescent="0.3">
      <c r="A104" s="1">
        <v>45312</v>
      </c>
      <c r="B104" t="s">
        <v>10</v>
      </c>
      <c r="C104" t="s">
        <v>15</v>
      </c>
      <c r="D104">
        <v>18216</v>
      </c>
      <c r="E104">
        <v>706</v>
      </c>
      <c r="F104">
        <v>69</v>
      </c>
      <c r="G104">
        <v>1081.3</v>
      </c>
      <c r="H104">
        <v>3770.88</v>
      </c>
    </row>
    <row r="105" spans="1:8" x14ac:dyDescent="0.3">
      <c r="A105" s="1">
        <v>45312</v>
      </c>
      <c r="B105" t="s">
        <v>11</v>
      </c>
      <c r="C105" t="s">
        <v>16</v>
      </c>
      <c r="D105">
        <v>10713</v>
      </c>
      <c r="E105">
        <v>419</v>
      </c>
      <c r="F105">
        <v>40</v>
      </c>
      <c r="G105">
        <v>1375.06</v>
      </c>
      <c r="H105">
        <v>1964.09</v>
      </c>
    </row>
    <row r="106" spans="1:8" x14ac:dyDescent="0.3">
      <c r="A106" s="1">
        <v>45312</v>
      </c>
      <c r="B106" t="s">
        <v>12</v>
      </c>
      <c r="C106" t="s">
        <v>17</v>
      </c>
      <c r="D106">
        <v>28793</v>
      </c>
      <c r="E106">
        <v>1399</v>
      </c>
      <c r="F106">
        <v>57</v>
      </c>
      <c r="G106">
        <v>2672.63</v>
      </c>
      <c r="H106">
        <v>7155.57</v>
      </c>
    </row>
    <row r="107" spans="1:8" x14ac:dyDescent="0.3">
      <c r="A107" s="1">
        <v>45313</v>
      </c>
      <c r="B107" t="s">
        <v>8</v>
      </c>
      <c r="C107" t="s">
        <v>13</v>
      </c>
      <c r="D107">
        <v>39961</v>
      </c>
      <c r="E107">
        <v>3161</v>
      </c>
      <c r="F107">
        <v>125</v>
      </c>
      <c r="G107">
        <v>7599.53</v>
      </c>
      <c r="H107">
        <v>10237.25</v>
      </c>
    </row>
    <row r="108" spans="1:8" x14ac:dyDescent="0.3">
      <c r="A108" s="1">
        <v>45313</v>
      </c>
      <c r="B108" t="s">
        <v>9</v>
      </c>
      <c r="C108" t="s">
        <v>14</v>
      </c>
      <c r="D108">
        <v>25309</v>
      </c>
      <c r="E108">
        <v>1722</v>
      </c>
      <c r="F108">
        <v>161</v>
      </c>
      <c r="G108">
        <v>1672.89</v>
      </c>
      <c r="H108">
        <v>7092.12</v>
      </c>
    </row>
    <row r="109" spans="1:8" x14ac:dyDescent="0.3">
      <c r="A109" s="1">
        <v>45313</v>
      </c>
      <c r="B109" t="s">
        <v>10</v>
      </c>
      <c r="C109" t="s">
        <v>15</v>
      </c>
      <c r="D109">
        <v>13702</v>
      </c>
      <c r="E109">
        <v>399</v>
      </c>
      <c r="F109">
        <v>10</v>
      </c>
      <c r="G109">
        <v>1250.77</v>
      </c>
      <c r="H109">
        <v>1294.19</v>
      </c>
    </row>
    <row r="110" spans="1:8" x14ac:dyDescent="0.3">
      <c r="A110" s="1">
        <v>45313</v>
      </c>
      <c r="B110" t="s">
        <v>11</v>
      </c>
      <c r="C110" t="s">
        <v>16</v>
      </c>
      <c r="D110">
        <v>37606</v>
      </c>
      <c r="E110">
        <v>2350</v>
      </c>
      <c r="F110">
        <v>325</v>
      </c>
      <c r="G110">
        <v>5592.77</v>
      </c>
      <c r="H110">
        <v>38958.82</v>
      </c>
    </row>
    <row r="111" spans="1:8" x14ac:dyDescent="0.3">
      <c r="A111" s="1">
        <v>45313</v>
      </c>
      <c r="B111" t="s">
        <v>12</v>
      </c>
      <c r="C111" t="s">
        <v>17</v>
      </c>
      <c r="D111">
        <v>9809</v>
      </c>
      <c r="E111">
        <v>681</v>
      </c>
      <c r="F111">
        <v>35</v>
      </c>
      <c r="G111">
        <v>1373.22</v>
      </c>
      <c r="H111">
        <v>1897.26</v>
      </c>
    </row>
    <row r="112" spans="1:8" x14ac:dyDescent="0.3">
      <c r="A112" s="1">
        <v>45314</v>
      </c>
      <c r="B112" t="s">
        <v>8</v>
      </c>
      <c r="C112" t="s">
        <v>13</v>
      </c>
      <c r="D112">
        <v>22100</v>
      </c>
      <c r="E112">
        <v>541</v>
      </c>
      <c r="F112">
        <v>72</v>
      </c>
      <c r="G112">
        <v>1538.55</v>
      </c>
      <c r="H112">
        <v>3251.42</v>
      </c>
    </row>
    <row r="113" spans="1:8" x14ac:dyDescent="0.3">
      <c r="A113" s="1">
        <v>45314</v>
      </c>
      <c r="B113" t="s">
        <v>9</v>
      </c>
      <c r="C113" t="s">
        <v>14</v>
      </c>
      <c r="D113">
        <v>12239</v>
      </c>
      <c r="E113">
        <v>141</v>
      </c>
      <c r="F113">
        <v>11</v>
      </c>
      <c r="G113">
        <v>294.08999999999997</v>
      </c>
      <c r="H113">
        <v>1445.96</v>
      </c>
    </row>
    <row r="114" spans="1:8" x14ac:dyDescent="0.3">
      <c r="A114" s="1">
        <v>45314</v>
      </c>
      <c r="B114" t="s">
        <v>10</v>
      </c>
      <c r="C114" t="s">
        <v>15</v>
      </c>
      <c r="D114">
        <v>37049</v>
      </c>
      <c r="E114">
        <v>2580</v>
      </c>
      <c r="F114">
        <v>236</v>
      </c>
      <c r="G114">
        <v>5971.49</v>
      </c>
      <c r="H114">
        <v>32197.93</v>
      </c>
    </row>
    <row r="115" spans="1:8" x14ac:dyDescent="0.3">
      <c r="A115" s="1">
        <v>45314</v>
      </c>
      <c r="B115" t="s">
        <v>11</v>
      </c>
      <c r="C115" t="s">
        <v>16</v>
      </c>
      <c r="D115">
        <v>27928</v>
      </c>
      <c r="E115">
        <v>541</v>
      </c>
      <c r="F115">
        <v>12</v>
      </c>
      <c r="G115">
        <v>1535.83</v>
      </c>
      <c r="H115">
        <v>1298.81</v>
      </c>
    </row>
    <row r="116" spans="1:8" x14ac:dyDescent="0.3">
      <c r="A116" s="1">
        <v>45314</v>
      </c>
      <c r="B116" t="s">
        <v>12</v>
      </c>
      <c r="C116" t="s">
        <v>17</v>
      </c>
      <c r="D116">
        <v>31698</v>
      </c>
      <c r="E116">
        <v>789</v>
      </c>
      <c r="F116">
        <v>29</v>
      </c>
      <c r="G116">
        <v>662.18</v>
      </c>
      <c r="H116">
        <v>2278.37</v>
      </c>
    </row>
    <row r="117" spans="1:8" x14ac:dyDescent="0.3">
      <c r="A117" s="1">
        <v>45315</v>
      </c>
      <c r="B117" t="s">
        <v>8</v>
      </c>
      <c r="C117" t="s">
        <v>13</v>
      </c>
      <c r="D117">
        <v>13017</v>
      </c>
      <c r="E117">
        <v>487</v>
      </c>
      <c r="F117">
        <v>37</v>
      </c>
      <c r="G117">
        <v>1578.48</v>
      </c>
      <c r="H117">
        <v>2897.4</v>
      </c>
    </row>
    <row r="118" spans="1:8" x14ac:dyDescent="0.3">
      <c r="A118" s="1">
        <v>45315</v>
      </c>
      <c r="B118" t="s">
        <v>9</v>
      </c>
      <c r="C118" t="s">
        <v>14</v>
      </c>
      <c r="D118">
        <v>36703</v>
      </c>
      <c r="E118">
        <v>2706</v>
      </c>
      <c r="F118">
        <v>158</v>
      </c>
      <c r="G118">
        <v>5990.34</v>
      </c>
      <c r="H118">
        <v>18445.02</v>
      </c>
    </row>
    <row r="119" spans="1:8" x14ac:dyDescent="0.3">
      <c r="A119" s="1">
        <v>45315</v>
      </c>
      <c r="B119" t="s">
        <v>10</v>
      </c>
      <c r="C119" t="s">
        <v>15</v>
      </c>
      <c r="D119">
        <v>24856</v>
      </c>
      <c r="E119">
        <v>1104</v>
      </c>
      <c r="F119">
        <v>59</v>
      </c>
      <c r="G119">
        <v>2251.79</v>
      </c>
      <c r="H119">
        <v>8720.41</v>
      </c>
    </row>
    <row r="120" spans="1:8" x14ac:dyDescent="0.3">
      <c r="A120" s="1">
        <v>45315</v>
      </c>
      <c r="B120" t="s">
        <v>11</v>
      </c>
      <c r="C120" t="s">
        <v>16</v>
      </c>
      <c r="D120">
        <v>19388</v>
      </c>
      <c r="E120">
        <v>665</v>
      </c>
      <c r="F120">
        <v>31</v>
      </c>
      <c r="G120">
        <v>1572.76</v>
      </c>
      <c r="H120">
        <v>2404.73</v>
      </c>
    </row>
    <row r="121" spans="1:8" x14ac:dyDescent="0.3">
      <c r="A121" s="1">
        <v>45315</v>
      </c>
      <c r="B121" t="s">
        <v>12</v>
      </c>
      <c r="C121" t="s">
        <v>17</v>
      </c>
      <c r="D121">
        <v>11254</v>
      </c>
      <c r="E121">
        <v>214</v>
      </c>
      <c r="F121">
        <v>7</v>
      </c>
      <c r="G121">
        <v>258.97000000000003</v>
      </c>
      <c r="H121">
        <v>386.9</v>
      </c>
    </row>
    <row r="122" spans="1:8" x14ac:dyDescent="0.3">
      <c r="A122" s="1">
        <v>45316</v>
      </c>
      <c r="B122" t="s">
        <v>8</v>
      </c>
      <c r="C122" t="s">
        <v>13</v>
      </c>
      <c r="D122">
        <v>29071</v>
      </c>
      <c r="E122">
        <v>657</v>
      </c>
      <c r="F122">
        <v>72</v>
      </c>
      <c r="G122">
        <v>1255.8499999999999</v>
      </c>
      <c r="H122">
        <v>9804.6</v>
      </c>
    </row>
    <row r="123" spans="1:8" x14ac:dyDescent="0.3">
      <c r="A123" s="1">
        <v>45316</v>
      </c>
      <c r="B123" t="s">
        <v>9</v>
      </c>
      <c r="C123" t="s">
        <v>14</v>
      </c>
      <c r="D123">
        <v>38434</v>
      </c>
      <c r="E123">
        <v>2180</v>
      </c>
      <c r="F123">
        <v>92</v>
      </c>
      <c r="G123">
        <v>2875.81</v>
      </c>
      <c r="H123">
        <v>4093.59</v>
      </c>
    </row>
    <row r="124" spans="1:8" x14ac:dyDescent="0.3">
      <c r="A124" s="1">
        <v>45316</v>
      </c>
      <c r="B124" t="s">
        <v>10</v>
      </c>
      <c r="C124" t="s">
        <v>15</v>
      </c>
      <c r="D124">
        <v>26508</v>
      </c>
      <c r="E124">
        <v>905</v>
      </c>
      <c r="F124">
        <v>58</v>
      </c>
      <c r="G124">
        <v>801.71</v>
      </c>
      <c r="H124">
        <v>5820.8</v>
      </c>
    </row>
    <row r="125" spans="1:8" x14ac:dyDescent="0.3">
      <c r="A125" s="1">
        <v>45316</v>
      </c>
      <c r="B125" t="s">
        <v>11</v>
      </c>
      <c r="C125" t="s">
        <v>16</v>
      </c>
      <c r="D125">
        <v>21907</v>
      </c>
      <c r="E125">
        <v>535</v>
      </c>
      <c r="F125">
        <v>36</v>
      </c>
      <c r="G125">
        <v>1155.19</v>
      </c>
      <c r="H125">
        <v>4173.96</v>
      </c>
    </row>
    <row r="126" spans="1:8" x14ac:dyDescent="0.3">
      <c r="A126" s="1">
        <v>45316</v>
      </c>
      <c r="B126" t="s">
        <v>12</v>
      </c>
      <c r="C126" t="s">
        <v>17</v>
      </c>
      <c r="D126">
        <v>28624</v>
      </c>
      <c r="E126">
        <v>471</v>
      </c>
      <c r="F126">
        <v>38</v>
      </c>
      <c r="G126">
        <v>1251.46</v>
      </c>
      <c r="H126">
        <v>3658.73</v>
      </c>
    </row>
    <row r="127" spans="1:8" x14ac:dyDescent="0.3">
      <c r="A127" s="1">
        <v>45317</v>
      </c>
      <c r="B127" t="s">
        <v>8</v>
      </c>
      <c r="C127" t="s">
        <v>13</v>
      </c>
      <c r="D127">
        <v>24262</v>
      </c>
      <c r="E127">
        <v>883</v>
      </c>
      <c r="F127">
        <v>17</v>
      </c>
      <c r="G127">
        <v>2776.52</v>
      </c>
      <c r="H127">
        <v>838.05</v>
      </c>
    </row>
    <row r="128" spans="1:8" x14ac:dyDescent="0.3">
      <c r="A128" s="1">
        <v>45317</v>
      </c>
      <c r="B128" t="s">
        <v>9</v>
      </c>
      <c r="C128" t="s">
        <v>14</v>
      </c>
      <c r="D128">
        <v>19178</v>
      </c>
      <c r="E128">
        <v>439</v>
      </c>
      <c r="F128">
        <v>20</v>
      </c>
      <c r="G128">
        <v>790.32</v>
      </c>
      <c r="H128">
        <v>1865.95</v>
      </c>
    </row>
    <row r="129" spans="1:8" x14ac:dyDescent="0.3">
      <c r="A129" s="1">
        <v>45317</v>
      </c>
      <c r="B129" t="s">
        <v>10</v>
      </c>
      <c r="C129" t="s">
        <v>15</v>
      </c>
      <c r="D129">
        <v>33699</v>
      </c>
      <c r="E129">
        <v>1207</v>
      </c>
      <c r="F129">
        <v>96</v>
      </c>
      <c r="G129">
        <v>3401.53</v>
      </c>
      <c r="H129">
        <v>4227.37</v>
      </c>
    </row>
    <row r="130" spans="1:8" x14ac:dyDescent="0.3">
      <c r="A130" s="1">
        <v>45317</v>
      </c>
      <c r="B130" t="s">
        <v>11</v>
      </c>
      <c r="C130" t="s">
        <v>16</v>
      </c>
      <c r="D130">
        <v>10126</v>
      </c>
      <c r="E130">
        <v>588</v>
      </c>
      <c r="F130">
        <v>76</v>
      </c>
      <c r="G130">
        <v>1660.49</v>
      </c>
      <c r="H130">
        <v>3294.75</v>
      </c>
    </row>
    <row r="131" spans="1:8" x14ac:dyDescent="0.3">
      <c r="A131" s="1">
        <v>45317</v>
      </c>
      <c r="B131" t="s">
        <v>12</v>
      </c>
      <c r="C131" t="s">
        <v>17</v>
      </c>
      <c r="D131">
        <v>28333</v>
      </c>
      <c r="E131">
        <v>1339</v>
      </c>
      <c r="F131">
        <v>68</v>
      </c>
      <c r="G131">
        <v>2044.6</v>
      </c>
      <c r="H131">
        <v>5542.09</v>
      </c>
    </row>
    <row r="132" spans="1:8" x14ac:dyDescent="0.3">
      <c r="A132" s="1">
        <v>45318</v>
      </c>
      <c r="B132" t="s">
        <v>8</v>
      </c>
      <c r="C132" t="s">
        <v>13</v>
      </c>
      <c r="D132">
        <v>30289</v>
      </c>
      <c r="E132">
        <v>1498</v>
      </c>
      <c r="F132">
        <v>193</v>
      </c>
      <c r="G132">
        <v>1559.2</v>
      </c>
      <c r="H132">
        <v>19085.169999999998</v>
      </c>
    </row>
    <row r="133" spans="1:8" x14ac:dyDescent="0.3">
      <c r="A133" s="1">
        <v>45318</v>
      </c>
      <c r="B133" t="s">
        <v>9</v>
      </c>
      <c r="C133" t="s">
        <v>14</v>
      </c>
      <c r="D133">
        <v>9632</v>
      </c>
      <c r="E133">
        <v>696</v>
      </c>
      <c r="F133">
        <v>67</v>
      </c>
      <c r="G133">
        <v>1832.97</v>
      </c>
      <c r="H133">
        <v>8496.19</v>
      </c>
    </row>
    <row r="134" spans="1:8" x14ac:dyDescent="0.3">
      <c r="A134" s="1">
        <v>45318</v>
      </c>
      <c r="B134" t="s">
        <v>10</v>
      </c>
      <c r="C134" t="s">
        <v>15</v>
      </c>
      <c r="D134">
        <v>31734</v>
      </c>
      <c r="E134">
        <v>1615</v>
      </c>
      <c r="F134">
        <v>186</v>
      </c>
      <c r="G134">
        <v>3724.04</v>
      </c>
      <c r="H134">
        <v>19440.509999999998</v>
      </c>
    </row>
    <row r="135" spans="1:8" x14ac:dyDescent="0.3">
      <c r="A135" s="1">
        <v>45318</v>
      </c>
      <c r="B135" t="s">
        <v>11</v>
      </c>
      <c r="C135" t="s">
        <v>16</v>
      </c>
      <c r="D135">
        <v>28275</v>
      </c>
      <c r="E135">
        <v>535</v>
      </c>
      <c r="F135">
        <v>30</v>
      </c>
      <c r="G135">
        <v>952.47</v>
      </c>
      <c r="H135">
        <v>3331.53</v>
      </c>
    </row>
    <row r="136" spans="1:8" x14ac:dyDescent="0.3">
      <c r="A136" s="1">
        <v>45318</v>
      </c>
      <c r="B136" t="s">
        <v>12</v>
      </c>
      <c r="C136" t="s">
        <v>17</v>
      </c>
      <c r="D136">
        <v>39529</v>
      </c>
      <c r="E136">
        <v>1071</v>
      </c>
      <c r="F136">
        <v>90</v>
      </c>
      <c r="G136">
        <v>1812.07</v>
      </c>
      <c r="H136">
        <v>12843.55</v>
      </c>
    </row>
    <row r="137" spans="1:8" x14ac:dyDescent="0.3">
      <c r="A137" s="1">
        <v>45319</v>
      </c>
      <c r="B137" t="s">
        <v>8</v>
      </c>
      <c r="C137" t="s">
        <v>13</v>
      </c>
      <c r="D137">
        <v>32285</v>
      </c>
      <c r="E137">
        <v>832</v>
      </c>
      <c r="F137">
        <v>56</v>
      </c>
      <c r="G137">
        <v>1761.42</v>
      </c>
      <c r="H137">
        <v>7481.04</v>
      </c>
    </row>
    <row r="138" spans="1:8" x14ac:dyDescent="0.3">
      <c r="A138" s="1">
        <v>45319</v>
      </c>
      <c r="B138" t="s">
        <v>9</v>
      </c>
      <c r="C138" t="s">
        <v>14</v>
      </c>
      <c r="D138">
        <v>15589</v>
      </c>
      <c r="E138">
        <v>345</v>
      </c>
      <c r="F138">
        <v>47</v>
      </c>
      <c r="G138">
        <v>350.74</v>
      </c>
      <c r="H138">
        <v>4591.72</v>
      </c>
    </row>
    <row r="139" spans="1:8" x14ac:dyDescent="0.3">
      <c r="A139" s="1">
        <v>45319</v>
      </c>
      <c r="B139" t="s">
        <v>10</v>
      </c>
      <c r="C139" t="s">
        <v>15</v>
      </c>
      <c r="D139">
        <v>9324</v>
      </c>
      <c r="E139">
        <v>734</v>
      </c>
      <c r="F139">
        <v>25</v>
      </c>
      <c r="G139">
        <v>1375.67</v>
      </c>
      <c r="H139">
        <v>3666.04</v>
      </c>
    </row>
    <row r="140" spans="1:8" x14ac:dyDescent="0.3">
      <c r="A140" s="1">
        <v>45319</v>
      </c>
      <c r="B140" t="s">
        <v>11</v>
      </c>
      <c r="C140" t="s">
        <v>16</v>
      </c>
      <c r="D140">
        <v>27350</v>
      </c>
      <c r="E140">
        <v>1837</v>
      </c>
      <c r="F140">
        <v>98</v>
      </c>
      <c r="G140">
        <v>2317.19</v>
      </c>
      <c r="H140">
        <v>11127.97</v>
      </c>
    </row>
    <row r="141" spans="1:8" x14ac:dyDescent="0.3">
      <c r="A141" s="1">
        <v>45319</v>
      </c>
      <c r="B141" t="s">
        <v>12</v>
      </c>
      <c r="C141" t="s">
        <v>17</v>
      </c>
      <c r="D141">
        <v>5846</v>
      </c>
      <c r="E141">
        <v>277</v>
      </c>
      <c r="F141">
        <v>22</v>
      </c>
      <c r="G141">
        <v>848.78</v>
      </c>
      <c r="H141">
        <v>1376.29</v>
      </c>
    </row>
    <row r="142" spans="1:8" x14ac:dyDescent="0.3">
      <c r="A142" s="1">
        <v>45320</v>
      </c>
      <c r="B142" t="s">
        <v>8</v>
      </c>
      <c r="C142" t="s">
        <v>13</v>
      </c>
      <c r="D142">
        <v>35105</v>
      </c>
      <c r="E142">
        <v>1146</v>
      </c>
      <c r="F142">
        <v>86</v>
      </c>
      <c r="G142">
        <v>2487.4499999999998</v>
      </c>
      <c r="H142">
        <v>5733.2</v>
      </c>
    </row>
    <row r="143" spans="1:8" x14ac:dyDescent="0.3">
      <c r="A143" s="1">
        <v>45320</v>
      </c>
      <c r="B143" t="s">
        <v>9</v>
      </c>
      <c r="C143" t="s">
        <v>14</v>
      </c>
      <c r="D143">
        <v>7048</v>
      </c>
      <c r="E143">
        <v>371</v>
      </c>
      <c r="F143">
        <v>21</v>
      </c>
      <c r="G143">
        <v>879.03</v>
      </c>
      <c r="H143">
        <v>1196.58</v>
      </c>
    </row>
    <row r="144" spans="1:8" x14ac:dyDescent="0.3">
      <c r="A144" s="1">
        <v>45320</v>
      </c>
      <c r="B144" t="s">
        <v>10</v>
      </c>
      <c r="C144" t="s">
        <v>15</v>
      </c>
      <c r="D144">
        <v>25128</v>
      </c>
      <c r="E144">
        <v>900</v>
      </c>
      <c r="F144">
        <v>71</v>
      </c>
      <c r="G144">
        <v>2053.11</v>
      </c>
      <c r="H144">
        <v>7127.08</v>
      </c>
    </row>
    <row r="145" spans="1:8" x14ac:dyDescent="0.3">
      <c r="A145" s="1">
        <v>45320</v>
      </c>
      <c r="B145" t="s">
        <v>11</v>
      </c>
      <c r="C145" t="s">
        <v>16</v>
      </c>
      <c r="D145">
        <v>10287</v>
      </c>
      <c r="E145">
        <v>686</v>
      </c>
      <c r="F145">
        <v>36</v>
      </c>
      <c r="G145">
        <v>1811.08</v>
      </c>
      <c r="H145">
        <v>4450.5</v>
      </c>
    </row>
    <row r="146" spans="1:8" x14ac:dyDescent="0.3">
      <c r="A146" s="1">
        <v>45320</v>
      </c>
      <c r="B146" t="s">
        <v>12</v>
      </c>
      <c r="C146" t="s">
        <v>17</v>
      </c>
      <c r="D146">
        <v>32534</v>
      </c>
      <c r="E146">
        <v>1399</v>
      </c>
      <c r="F146">
        <v>102</v>
      </c>
      <c r="G146">
        <v>2436.98</v>
      </c>
      <c r="H146">
        <v>14509.32</v>
      </c>
    </row>
    <row r="147" spans="1:8" x14ac:dyDescent="0.3">
      <c r="A147" s="1">
        <v>45321</v>
      </c>
      <c r="B147" t="s">
        <v>8</v>
      </c>
      <c r="C147" t="s">
        <v>13</v>
      </c>
      <c r="D147">
        <v>36037</v>
      </c>
      <c r="E147">
        <v>2242</v>
      </c>
      <c r="F147">
        <v>163</v>
      </c>
      <c r="G147">
        <v>7441.05</v>
      </c>
      <c r="H147">
        <v>24287.37</v>
      </c>
    </row>
    <row r="148" spans="1:8" x14ac:dyDescent="0.3">
      <c r="A148" s="1">
        <v>45321</v>
      </c>
      <c r="B148" t="s">
        <v>9</v>
      </c>
      <c r="C148" t="s">
        <v>14</v>
      </c>
      <c r="D148">
        <v>24019</v>
      </c>
      <c r="E148">
        <v>877</v>
      </c>
      <c r="F148">
        <v>123</v>
      </c>
      <c r="G148">
        <v>2410.27</v>
      </c>
      <c r="H148">
        <v>5570.72</v>
      </c>
    </row>
    <row r="149" spans="1:8" x14ac:dyDescent="0.3">
      <c r="A149" s="1">
        <v>45321</v>
      </c>
      <c r="B149" t="s">
        <v>10</v>
      </c>
      <c r="C149" t="s">
        <v>15</v>
      </c>
      <c r="D149">
        <v>26852</v>
      </c>
      <c r="E149">
        <v>531</v>
      </c>
      <c r="F149">
        <v>65</v>
      </c>
      <c r="G149">
        <v>713.87</v>
      </c>
      <c r="H149">
        <v>3770.14</v>
      </c>
    </row>
    <row r="150" spans="1:8" x14ac:dyDescent="0.3">
      <c r="A150" s="1">
        <v>45321</v>
      </c>
      <c r="B150" t="s">
        <v>11</v>
      </c>
      <c r="C150" t="s">
        <v>16</v>
      </c>
      <c r="D150">
        <v>26204</v>
      </c>
      <c r="E150">
        <v>603</v>
      </c>
      <c r="F150">
        <v>30</v>
      </c>
      <c r="G150">
        <v>1514.22</v>
      </c>
      <c r="H150">
        <v>4195.96</v>
      </c>
    </row>
    <row r="151" spans="1:8" x14ac:dyDescent="0.3">
      <c r="A151" s="1">
        <v>45321</v>
      </c>
      <c r="B151" t="s">
        <v>12</v>
      </c>
      <c r="C151" t="s">
        <v>17</v>
      </c>
      <c r="D151">
        <v>21984</v>
      </c>
      <c r="E151">
        <v>1569</v>
      </c>
      <c r="F151">
        <v>111</v>
      </c>
      <c r="G151">
        <v>4714.5600000000004</v>
      </c>
      <c r="H151">
        <v>9801.84</v>
      </c>
    </row>
    <row r="152" spans="1:8" x14ac:dyDescent="0.3">
      <c r="A152" s="1">
        <v>45322</v>
      </c>
      <c r="B152" t="s">
        <v>8</v>
      </c>
      <c r="C152" t="s">
        <v>13</v>
      </c>
      <c r="D152">
        <v>33173</v>
      </c>
      <c r="E152">
        <v>2420</v>
      </c>
      <c r="F152">
        <v>244</v>
      </c>
      <c r="G152">
        <v>5462.93</v>
      </c>
      <c r="H152">
        <v>21535.91</v>
      </c>
    </row>
    <row r="153" spans="1:8" x14ac:dyDescent="0.3">
      <c r="A153" s="1">
        <v>45322</v>
      </c>
      <c r="B153" t="s">
        <v>9</v>
      </c>
      <c r="C153" t="s">
        <v>14</v>
      </c>
      <c r="D153">
        <v>14184</v>
      </c>
      <c r="E153">
        <v>372</v>
      </c>
      <c r="F153">
        <v>50</v>
      </c>
      <c r="G153">
        <v>683.18</v>
      </c>
      <c r="H153">
        <v>4989.54</v>
      </c>
    </row>
    <row r="154" spans="1:8" x14ac:dyDescent="0.3">
      <c r="A154" s="1">
        <v>45322</v>
      </c>
      <c r="B154" t="s">
        <v>10</v>
      </c>
      <c r="C154" t="s">
        <v>15</v>
      </c>
      <c r="D154">
        <v>31727</v>
      </c>
      <c r="E154">
        <v>1703</v>
      </c>
      <c r="F154">
        <v>59</v>
      </c>
      <c r="G154">
        <v>5683.84</v>
      </c>
      <c r="H154">
        <v>6433.83</v>
      </c>
    </row>
    <row r="155" spans="1:8" x14ac:dyDescent="0.3">
      <c r="A155" s="1">
        <v>45322</v>
      </c>
      <c r="B155" t="s">
        <v>11</v>
      </c>
      <c r="C155" t="s">
        <v>16</v>
      </c>
      <c r="D155">
        <v>29519</v>
      </c>
      <c r="E155">
        <v>1728</v>
      </c>
      <c r="F155">
        <v>72</v>
      </c>
      <c r="G155">
        <v>5481.73</v>
      </c>
      <c r="H155">
        <v>6803.76</v>
      </c>
    </row>
    <row r="156" spans="1:8" x14ac:dyDescent="0.3">
      <c r="A156" s="1">
        <v>45322</v>
      </c>
      <c r="B156" t="s">
        <v>12</v>
      </c>
      <c r="C156" t="s">
        <v>17</v>
      </c>
      <c r="D156">
        <v>30053</v>
      </c>
      <c r="E156">
        <v>2181</v>
      </c>
      <c r="F156">
        <v>267</v>
      </c>
      <c r="G156">
        <v>2637.97</v>
      </c>
      <c r="H156">
        <v>19835.28</v>
      </c>
    </row>
    <row r="157" spans="1:8" x14ac:dyDescent="0.3">
      <c r="A157" s="1">
        <v>45323</v>
      </c>
      <c r="B157" t="s">
        <v>8</v>
      </c>
      <c r="C157" t="s">
        <v>13</v>
      </c>
      <c r="D157">
        <v>37154</v>
      </c>
      <c r="E157">
        <v>2306</v>
      </c>
      <c r="F157">
        <v>56</v>
      </c>
      <c r="G157">
        <v>5393.05</v>
      </c>
      <c r="H157">
        <v>6936.75</v>
      </c>
    </row>
    <row r="158" spans="1:8" x14ac:dyDescent="0.3">
      <c r="A158" s="1">
        <v>45323</v>
      </c>
      <c r="B158" t="s">
        <v>9</v>
      </c>
      <c r="C158" t="s">
        <v>14</v>
      </c>
      <c r="D158">
        <v>28710</v>
      </c>
      <c r="E158">
        <v>1048</v>
      </c>
      <c r="F158">
        <v>83</v>
      </c>
      <c r="G158">
        <v>2547.36</v>
      </c>
      <c r="H158">
        <v>7905.89</v>
      </c>
    </row>
    <row r="159" spans="1:8" x14ac:dyDescent="0.3">
      <c r="A159" s="1">
        <v>45323</v>
      </c>
      <c r="B159" t="s">
        <v>10</v>
      </c>
      <c r="C159" t="s">
        <v>15</v>
      </c>
      <c r="D159">
        <v>25103</v>
      </c>
      <c r="E159">
        <v>514</v>
      </c>
      <c r="F159">
        <v>25</v>
      </c>
      <c r="G159">
        <v>1413.54</v>
      </c>
      <c r="H159">
        <v>2980.1</v>
      </c>
    </row>
    <row r="160" spans="1:8" x14ac:dyDescent="0.3">
      <c r="A160" s="1">
        <v>45323</v>
      </c>
      <c r="B160" t="s">
        <v>11</v>
      </c>
      <c r="C160" t="s">
        <v>16</v>
      </c>
      <c r="D160">
        <v>21478</v>
      </c>
      <c r="E160">
        <v>1114</v>
      </c>
      <c r="F160">
        <v>104</v>
      </c>
      <c r="G160">
        <v>3045.32</v>
      </c>
      <c r="H160">
        <v>11012.9</v>
      </c>
    </row>
    <row r="161" spans="1:8" x14ac:dyDescent="0.3">
      <c r="A161" s="1">
        <v>45323</v>
      </c>
      <c r="B161" t="s">
        <v>12</v>
      </c>
      <c r="C161" t="s">
        <v>17</v>
      </c>
      <c r="D161">
        <v>10779</v>
      </c>
      <c r="E161">
        <v>244</v>
      </c>
      <c r="F161">
        <v>33</v>
      </c>
      <c r="G161">
        <v>579.54</v>
      </c>
      <c r="H161">
        <v>2775.09</v>
      </c>
    </row>
    <row r="162" spans="1:8" x14ac:dyDescent="0.3">
      <c r="A162" s="1">
        <v>45324</v>
      </c>
      <c r="B162" t="s">
        <v>8</v>
      </c>
      <c r="C162" t="s">
        <v>13</v>
      </c>
      <c r="D162">
        <v>5814</v>
      </c>
      <c r="E162">
        <v>175</v>
      </c>
      <c r="F162">
        <v>17</v>
      </c>
      <c r="G162">
        <v>570.85</v>
      </c>
      <c r="H162">
        <v>940.15</v>
      </c>
    </row>
    <row r="163" spans="1:8" x14ac:dyDescent="0.3">
      <c r="A163" s="1">
        <v>45324</v>
      </c>
      <c r="B163" t="s">
        <v>9</v>
      </c>
      <c r="C163" t="s">
        <v>14</v>
      </c>
      <c r="D163">
        <v>22368</v>
      </c>
      <c r="E163">
        <v>624</v>
      </c>
      <c r="F163">
        <v>71</v>
      </c>
      <c r="G163">
        <v>1498.22</v>
      </c>
      <c r="H163">
        <v>3638.28</v>
      </c>
    </row>
    <row r="164" spans="1:8" x14ac:dyDescent="0.3">
      <c r="A164" s="1">
        <v>45324</v>
      </c>
      <c r="B164" t="s">
        <v>10</v>
      </c>
      <c r="C164" t="s">
        <v>15</v>
      </c>
      <c r="D164">
        <v>20343</v>
      </c>
      <c r="E164">
        <v>1195</v>
      </c>
      <c r="F164">
        <v>167</v>
      </c>
      <c r="G164">
        <v>3237.91</v>
      </c>
      <c r="H164">
        <v>9482.14</v>
      </c>
    </row>
    <row r="165" spans="1:8" x14ac:dyDescent="0.3">
      <c r="A165" s="1">
        <v>45324</v>
      </c>
      <c r="B165" t="s">
        <v>11</v>
      </c>
      <c r="C165" t="s">
        <v>16</v>
      </c>
      <c r="D165">
        <v>25530</v>
      </c>
      <c r="E165">
        <v>1571</v>
      </c>
      <c r="F165">
        <v>222</v>
      </c>
      <c r="G165">
        <v>5182.78</v>
      </c>
      <c r="H165">
        <v>19889.5</v>
      </c>
    </row>
    <row r="166" spans="1:8" x14ac:dyDescent="0.3">
      <c r="A166" s="1">
        <v>45324</v>
      </c>
      <c r="B166" t="s">
        <v>12</v>
      </c>
      <c r="C166" t="s">
        <v>17</v>
      </c>
      <c r="D166">
        <v>16053</v>
      </c>
      <c r="E166">
        <v>425</v>
      </c>
      <c r="F166">
        <v>17</v>
      </c>
      <c r="G166">
        <v>553.79999999999995</v>
      </c>
      <c r="H166">
        <v>2246.11</v>
      </c>
    </row>
    <row r="167" spans="1:8" x14ac:dyDescent="0.3">
      <c r="A167" s="1">
        <v>45325</v>
      </c>
      <c r="B167" t="s">
        <v>8</v>
      </c>
      <c r="C167" t="s">
        <v>13</v>
      </c>
      <c r="D167">
        <v>39622</v>
      </c>
      <c r="E167">
        <v>1260</v>
      </c>
      <c r="F167">
        <v>62</v>
      </c>
      <c r="G167">
        <v>3076.06</v>
      </c>
      <c r="H167">
        <v>5066.8599999999997</v>
      </c>
    </row>
    <row r="168" spans="1:8" x14ac:dyDescent="0.3">
      <c r="A168" s="1">
        <v>45325</v>
      </c>
      <c r="B168" t="s">
        <v>9</v>
      </c>
      <c r="C168" t="s">
        <v>14</v>
      </c>
      <c r="D168">
        <v>14524</v>
      </c>
      <c r="E168">
        <v>486</v>
      </c>
      <c r="F168">
        <v>60</v>
      </c>
      <c r="G168">
        <v>394.88</v>
      </c>
      <c r="H168">
        <v>4601.09</v>
      </c>
    </row>
    <row r="169" spans="1:8" x14ac:dyDescent="0.3">
      <c r="A169" s="1">
        <v>45325</v>
      </c>
      <c r="B169" t="s">
        <v>10</v>
      </c>
      <c r="C169" t="s">
        <v>15</v>
      </c>
      <c r="D169">
        <v>30150</v>
      </c>
      <c r="E169">
        <v>1176</v>
      </c>
      <c r="F169">
        <v>155</v>
      </c>
      <c r="G169">
        <v>3871.38</v>
      </c>
      <c r="H169">
        <v>14140.19</v>
      </c>
    </row>
    <row r="170" spans="1:8" x14ac:dyDescent="0.3">
      <c r="A170" s="1">
        <v>45325</v>
      </c>
      <c r="B170" t="s">
        <v>11</v>
      </c>
      <c r="C170" t="s">
        <v>16</v>
      </c>
      <c r="D170">
        <v>13666</v>
      </c>
      <c r="E170">
        <v>842</v>
      </c>
      <c r="F170">
        <v>66</v>
      </c>
      <c r="G170">
        <v>1184.22</v>
      </c>
      <c r="H170">
        <v>5924.71</v>
      </c>
    </row>
    <row r="171" spans="1:8" x14ac:dyDescent="0.3">
      <c r="A171" s="1">
        <v>45325</v>
      </c>
      <c r="B171" t="s">
        <v>12</v>
      </c>
      <c r="C171" t="s">
        <v>17</v>
      </c>
      <c r="D171">
        <v>18490</v>
      </c>
      <c r="E171">
        <v>506</v>
      </c>
      <c r="F171">
        <v>48</v>
      </c>
      <c r="G171">
        <v>630.91999999999996</v>
      </c>
      <c r="H171">
        <v>2098.88</v>
      </c>
    </row>
    <row r="172" spans="1:8" x14ac:dyDescent="0.3">
      <c r="A172" s="1">
        <v>45326</v>
      </c>
      <c r="B172" t="s">
        <v>8</v>
      </c>
      <c r="C172" t="s">
        <v>13</v>
      </c>
      <c r="D172">
        <v>33734</v>
      </c>
      <c r="E172">
        <v>992</v>
      </c>
      <c r="F172">
        <v>48</v>
      </c>
      <c r="G172">
        <v>1363.24</v>
      </c>
      <c r="H172">
        <v>4640.12</v>
      </c>
    </row>
    <row r="173" spans="1:8" x14ac:dyDescent="0.3">
      <c r="A173" s="1">
        <v>45326</v>
      </c>
      <c r="B173" t="s">
        <v>9</v>
      </c>
      <c r="C173" t="s">
        <v>14</v>
      </c>
      <c r="D173">
        <v>9944</v>
      </c>
      <c r="E173">
        <v>768</v>
      </c>
      <c r="F173">
        <v>30</v>
      </c>
      <c r="G173">
        <v>1474.16</v>
      </c>
      <c r="H173">
        <v>1481.65</v>
      </c>
    </row>
    <row r="174" spans="1:8" x14ac:dyDescent="0.3">
      <c r="A174" s="1">
        <v>45326</v>
      </c>
      <c r="B174" t="s">
        <v>10</v>
      </c>
      <c r="C174" t="s">
        <v>15</v>
      </c>
      <c r="D174">
        <v>14916</v>
      </c>
      <c r="E174">
        <v>341</v>
      </c>
      <c r="F174">
        <v>20</v>
      </c>
      <c r="G174">
        <v>558.16</v>
      </c>
      <c r="H174">
        <v>1674.1</v>
      </c>
    </row>
    <row r="175" spans="1:8" x14ac:dyDescent="0.3">
      <c r="A175" s="1">
        <v>45326</v>
      </c>
      <c r="B175" t="s">
        <v>11</v>
      </c>
      <c r="C175" t="s">
        <v>16</v>
      </c>
      <c r="D175">
        <v>7482</v>
      </c>
      <c r="E175">
        <v>184</v>
      </c>
      <c r="F175">
        <v>25</v>
      </c>
      <c r="G175">
        <v>249.11</v>
      </c>
      <c r="H175">
        <v>1524.39</v>
      </c>
    </row>
    <row r="176" spans="1:8" x14ac:dyDescent="0.3">
      <c r="A176" s="1">
        <v>45326</v>
      </c>
      <c r="B176" t="s">
        <v>12</v>
      </c>
      <c r="C176" t="s">
        <v>17</v>
      </c>
      <c r="D176">
        <v>25908</v>
      </c>
      <c r="E176">
        <v>944</v>
      </c>
      <c r="F176">
        <v>121</v>
      </c>
      <c r="G176">
        <v>2252.5</v>
      </c>
      <c r="H176">
        <v>8753.73</v>
      </c>
    </row>
    <row r="177" spans="1:8" x14ac:dyDescent="0.3">
      <c r="A177" s="1">
        <v>45327</v>
      </c>
      <c r="B177" t="s">
        <v>8</v>
      </c>
      <c r="C177" t="s">
        <v>13</v>
      </c>
      <c r="D177">
        <v>33865</v>
      </c>
      <c r="E177">
        <v>1605</v>
      </c>
      <c r="F177">
        <v>132</v>
      </c>
      <c r="G177">
        <v>3437.8</v>
      </c>
      <c r="H177">
        <v>16392.97</v>
      </c>
    </row>
    <row r="178" spans="1:8" x14ac:dyDescent="0.3">
      <c r="A178" s="1">
        <v>45327</v>
      </c>
      <c r="B178" t="s">
        <v>9</v>
      </c>
      <c r="C178" t="s">
        <v>14</v>
      </c>
      <c r="D178">
        <v>17342</v>
      </c>
      <c r="E178">
        <v>1321</v>
      </c>
      <c r="F178">
        <v>90</v>
      </c>
      <c r="G178">
        <v>2022.47</v>
      </c>
      <c r="H178">
        <v>9975.6</v>
      </c>
    </row>
    <row r="179" spans="1:8" x14ac:dyDescent="0.3">
      <c r="A179" s="1">
        <v>45327</v>
      </c>
      <c r="B179" t="s">
        <v>10</v>
      </c>
      <c r="C179" t="s">
        <v>15</v>
      </c>
      <c r="D179">
        <v>21438</v>
      </c>
      <c r="E179">
        <v>448</v>
      </c>
      <c r="F179">
        <v>50</v>
      </c>
      <c r="G179">
        <v>1155.43</v>
      </c>
      <c r="H179">
        <v>2149.0300000000002</v>
      </c>
    </row>
    <row r="180" spans="1:8" x14ac:dyDescent="0.3">
      <c r="A180" s="1">
        <v>45327</v>
      </c>
      <c r="B180" t="s">
        <v>11</v>
      </c>
      <c r="C180" t="s">
        <v>16</v>
      </c>
      <c r="D180">
        <v>15998</v>
      </c>
      <c r="E180">
        <v>444</v>
      </c>
      <c r="F180">
        <v>20</v>
      </c>
      <c r="G180">
        <v>961.2</v>
      </c>
      <c r="H180">
        <v>2109.11</v>
      </c>
    </row>
    <row r="181" spans="1:8" x14ac:dyDescent="0.3">
      <c r="A181" s="1">
        <v>45327</v>
      </c>
      <c r="B181" t="s">
        <v>12</v>
      </c>
      <c r="C181" t="s">
        <v>17</v>
      </c>
      <c r="D181">
        <v>36480</v>
      </c>
      <c r="E181">
        <v>2407</v>
      </c>
      <c r="F181">
        <v>104</v>
      </c>
      <c r="G181">
        <v>6167.73</v>
      </c>
      <c r="H181">
        <v>6884.81</v>
      </c>
    </row>
    <row r="182" spans="1:8" x14ac:dyDescent="0.3">
      <c r="A182" s="1">
        <v>45328</v>
      </c>
      <c r="B182" t="s">
        <v>8</v>
      </c>
      <c r="C182" t="s">
        <v>13</v>
      </c>
      <c r="D182">
        <v>12970</v>
      </c>
      <c r="E182">
        <v>350</v>
      </c>
      <c r="F182">
        <v>39</v>
      </c>
      <c r="G182">
        <v>1088.6300000000001</v>
      </c>
      <c r="H182">
        <v>5121.6400000000003</v>
      </c>
    </row>
    <row r="183" spans="1:8" x14ac:dyDescent="0.3">
      <c r="A183" s="1">
        <v>45328</v>
      </c>
      <c r="B183" t="s">
        <v>9</v>
      </c>
      <c r="C183" t="s">
        <v>14</v>
      </c>
      <c r="D183">
        <v>26389</v>
      </c>
      <c r="E183">
        <v>805</v>
      </c>
      <c r="F183">
        <v>109</v>
      </c>
      <c r="G183">
        <v>672.26</v>
      </c>
      <c r="H183">
        <v>5385.25</v>
      </c>
    </row>
    <row r="184" spans="1:8" x14ac:dyDescent="0.3">
      <c r="A184" s="1">
        <v>45328</v>
      </c>
      <c r="B184" t="s">
        <v>10</v>
      </c>
      <c r="C184" t="s">
        <v>15</v>
      </c>
      <c r="D184">
        <v>7198</v>
      </c>
      <c r="E184">
        <v>499</v>
      </c>
      <c r="F184">
        <v>17</v>
      </c>
      <c r="G184">
        <v>1580.03</v>
      </c>
      <c r="H184">
        <v>1882.27</v>
      </c>
    </row>
    <row r="185" spans="1:8" x14ac:dyDescent="0.3">
      <c r="A185" s="1">
        <v>45328</v>
      </c>
      <c r="B185" t="s">
        <v>11</v>
      </c>
      <c r="C185" t="s">
        <v>16</v>
      </c>
      <c r="D185">
        <v>13705</v>
      </c>
      <c r="E185">
        <v>1010</v>
      </c>
      <c r="F185">
        <v>102</v>
      </c>
      <c r="G185">
        <v>1723.91</v>
      </c>
      <c r="H185">
        <v>13337.7</v>
      </c>
    </row>
    <row r="186" spans="1:8" x14ac:dyDescent="0.3">
      <c r="A186" s="1">
        <v>45328</v>
      </c>
      <c r="B186" t="s">
        <v>12</v>
      </c>
      <c r="C186" t="s">
        <v>17</v>
      </c>
      <c r="D186">
        <v>34378</v>
      </c>
      <c r="E186">
        <v>1764</v>
      </c>
      <c r="F186">
        <v>96</v>
      </c>
      <c r="G186">
        <v>4383.8999999999996</v>
      </c>
      <c r="H186">
        <v>8163.39</v>
      </c>
    </row>
    <row r="187" spans="1:8" x14ac:dyDescent="0.3">
      <c r="A187" s="1">
        <v>45329</v>
      </c>
      <c r="B187" t="s">
        <v>8</v>
      </c>
      <c r="C187" t="s">
        <v>13</v>
      </c>
      <c r="D187">
        <v>12083</v>
      </c>
      <c r="E187">
        <v>306</v>
      </c>
      <c r="F187">
        <v>44</v>
      </c>
      <c r="G187">
        <v>889.04</v>
      </c>
      <c r="H187">
        <v>2312.91</v>
      </c>
    </row>
    <row r="188" spans="1:8" x14ac:dyDescent="0.3">
      <c r="A188" s="1">
        <v>45329</v>
      </c>
      <c r="B188" t="s">
        <v>9</v>
      </c>
      <c r="C188" t="s">
        <v>14</v>
      </c>
      <c r="D188">
        <v>24063</v>
      </c>
      <c r="E188">
        <v>1900</v>
      </c>
      <c r="F188">
        <v>154</v>
      </c>
      <c r="G188">
        <v>2454.21</v>
      </c>
      <c r="H188">
        <v>14372.15</v>
      </c>
    </row>
    <row r="189" spans="1:8" x14ac:dyDescent="0.3">
      <c r="A189" s="1">
        <v>45329</v>
      </c>
      <c r="B189" t="s">
        <v>10</v>
      </c>
      <c r="C189" t="s">
        <v>15</v>
      </c>
      <c r="D189">
        <v>32856</v>
      </c>
      <c r="E189">
        <v>946</v>
      </c>
      <c r="F189">
        <v>85</v>
      </c>
      <c r="G189">
        <v>2374.83</v>
      </c>
      <c r="H189">
        <v>5811.25</v>
      </c>
    </row>
    <row r="190" spans="1:8" x14ac:dyDescent="0.3">
      <c r="A190" s="1">
        <v>45329</v>
      </c>
      <c r="B190" t="s">
        <v>11</v>
      </c>
      <c r="C190" t="s">
        <v>16</v>
      </c>
      <c r="D190">
        <v>22685</v>
      </c>
      <c r="E190">
        <v>1552</v>
      </c>
      <c r="F190">
        <v>229</v>
      </c>
      <c r="G190">
        <v>3444.45</v>
      </c>
      <c r="H190">
        <v>13484.6</v>
      </c>
    </row>
    <row r="191" spans="1:8" x14ac:dyDescent="0.3">
      <c r="A191" s="1">
        <v>45329</v>
      </c>
      <c r="B191" t="s">
        <v>12</v>
      </c>
      <c r="C191" t="s">
        <v>17</v>
      </c>
      <c r="D191">
        <v>13996</v>
      </c>
      <c r="E191">
        <v>157</v>
      </c>
      <c r="F191">
        <v>21</v>
      </c>
      <c r="G191">
        <v>175.51</v>
      </c>
      <c r="H191">
        <v>2171.75</v>
      </c>
    </row>
    <row r="192" spans="1:8" x14ac:dyDescent="0.3">
      <c r="A192" s="1">
        <v>45330</v>
      </c>
      <c r="B192" t="s">
        <v>8</v>
      </c>
      <c r="C192" t="s">
        <v>13</v>
      </c>
      <c r="D192">
        <v>36653</v>
      </c>
      <c r="E192">
        <v>538</v>
      </c>
      <c r="F192">
        <v>39</v>
      </c>
      <c r="G192">
        <v>1153.02</v>
      </c>
      <c r="H192">
        <v>4649.67</v>
      </c>
    </row>
    <row r="193" spans="1:8" x14ac:dyDescent="0.3">
      <c r="A193" s="1">
        <v>45330</v>
      </c>
      <c r="B193" t="s">
        <v>9</v>
      </c>
      <c r="C193" t="s">
        <v>14</v>
      </c>
      <c r="D193">
        <v>21725</v>
      </c>
      <c r="E193">
        <v>425</v>
      </c>
      <c r="F193">
        <v>58</v>
      </c>
      <c r="G193">
        <v>1342.79</v>
      </c>
      <c r="H193">
        <v>6131.5</v>
      </c>
    </row>
    <row r="194" spans="1:8" x14ac:dyDescent="0.3">
      <c r="A194" s="1">
        <v>45330</v>
      </c>
      <c r="B194" t="s">
        <v>10</v>
      </c>
      <c r="C194" t="s">
        <v>15</v>
      </c>
      <c r="D194">
        <v>35987</v>
      </c>
      <c r="E194">
        <v>1954</v>
      </c>
      <c r="F194">
        <v>164</v>
      </c>
      <c r="G194">
        <v>4587.79</v>
      </c>
      <c r="H194">
        <v>21679.45</v>
      </c>
    </row>
    <row r="195" spans="1:8" x14ac:dyDescent="0.3">
      <c r="A195" s="1">
        <v>45330</v>
      </c>
      <c r="B195" t="s">
        <v>11</v>
      </c>
      <c r="C195" t="s">
        <v>16</v>
      </c>
      <c r="D195">
        <v>29027</v>
      </c>
      <c r="E195">
        <v>1856</v>
      </c>
      <c r="F195">
        <v>138</v>
      </c>
      <c r="G195">
        <v>3258.12</v>
      </c>
      <c r="H195">
        <v>20071.96</v>
      </c>
    </row>
    <row r="196" spans="1:8" x14ac:dyDescent="0.3">
      <c r="A196" s="1">
        <v>45330</v>
      </c>
      <c r="B196" t="s">
        <v>12</v>
      </c>
      <c r="C196" t="s">
        <v>17</v>
      </c>
      <c r="D196">
        <v>24250</v>
      </c>
      <c r="E196">
        <v>395</v>
      </c>
      <c r="F196">
        <v>47</v>
      </c>
      <c r="G196">
        <v>388.79</v>
      </c>
      <c r="H196">
        <v>6207.7</v>
      </c>
    </row>
    <row r="197" spans="1:8" x14ac:dyDescent="0.3">
      <c r="A197" s="1">
        <v>45331</v>
      </c>
      <c r="B197" t="s">
        <v>8</v>
      </c>
      <c r="C197" t="s">
        <v>13</v>
      </c>
      <c r="D197">
        <v>29063</v>
      </c>
      <c r="E197">
        <v>2153</v>
      </c>
      <c r="F197">
        <v>245</v>
      </c>
      <c r="G197">
        <v>5270.74</v>
      </c>
      <c r="H197">
        <v>35383.82</v>
      </c>
    </row>
    <row r="198" spans="1:8" x14ac:dyDescent="0.3">
      <c r="A198" s="1">
        <v>45331</v>
      </c>
      <c r="B198" t="s">
        <v>9</v>
      </c>
      <c r="C198" t="s">
        <v>14</v>
      </c>
      <c r="D198">
        <v>28150</v>
      </c>
      <c r="E198">
        <v>2161</v>
      </c>
      <c r="F198">
        <v>81</v>
      </c>
      <c r="G198">
        <v>4551.3599999999997</v>
      </c>
      <c r="H198">
        <v>5644.91</v>
      </c>
    </row>
    <row r="199" spans="1:8" x14ac:dyDescent="0.3">
      <c r="A199" s="1">
        <v>45331</v>
      </c>
      <c r="B199" t="s">
        <v>10</v>
      </c>
      <c r="C199" t="s">
        <v>15</v>
      </c>
      <c r="D199">
        <v>13942</v>
      </c>
      <c r="E199">
        <v>395</v>
      </c>
      <c r="F199">
        <v>38</v>
      </c>
      <c r="G199">
        <v>370.85</v>
      </c>
      <c r="H199">
        <v>3594.81</v>
      </c>
    </row>
    <row r="200" spans="1:8" x14ac:dyDescent="0.3">
      <c r="A200" s="1">
        <v>45331</v>
      </c>
      <c r="B200" t="s">
        <v>11</v>
      </c>
      <c r="C200" t="s">
        <v>16</v>
      </c>
      <c r="D200">
        <v>5481</v>
      </c>
      <c r="E200">
        <v>293</v>
      </c>
      <c r="F200">
        <v>23</v>
      </c>
      <c r="G200">
        <v>506.84</v>
      </c>
      <c r="H200">
        <v>1809.4</v>
      </c>
    </row>
    <row r="201" spans="1:8" x14ac:dyDescent="0.3">
      <c r="A201" s="1">
        <v>45331</v>
      </c>
      <c r="B201" t="s">
        <v>12</v>
      </c>
      <c r="C201" t="s">
        <v>17</v>
      </c>
      <c r="D201">
        <v>39008</v>
      </c>
      <c r="E201">
        <v>2314</v>
      </c>
      <c r="F201">
        <v>226</v>
      </c>
      <c r="G201">
        <v>4723.2</v>
      </c>
      <c r="H201">
        <v>10927.7</v>
      </c>
    </row>
    <row r="202" spans="1:8" x14ac:dyDescent="0.3">
      <c r="A202" s="1">
        <v>45332</v>
      </c>
      <c r="B202" t="s">
        <v>8</v>
      </c>
      <c r="C202" t="s">
        <v>13</v>
      </c>
      <c r="D202">
        <v>33145</v>
      </c>
      <c r="E202">
        <v>2186</v>
      </c>
      <c r="F202">
        <v>241</v>
      </c>
      <c r="G202">
        <v>3355.06</v>
      </c>
      <c r="H202">
        <v>25287.01</v>
      </c>
    </row>
    <row r="203" spans="1:8" x14ac:dyDescent="0.3">
      <c r="A203" s="1">
        <v>45332</v>
      </c>
      <c r="B203" t="s">
        <v>9</v>
      </c>
      <c r="C203" t="s">
        <v>14</v>
      </c>
      <c r="D203">
        <v>31212</v>
      </c>
      <c r="E203">
        <v>512</v>
      </c>
      <c r="F203">
        <v>71</v>
      </c>
      <c r="G203">
        <v>598.74</v>
      </c>
      <c r="H203">
        <v>10261.35</v>
      </c>
    </row>
    <row r="204" spans="1:8" x14ac:dyDescent="0.3">
      <c r="A204" s="1">
        <v>45332</v>
      </c>
      <c r="B204" t="s">
        <v>10</v>
      </c>
      <c r="C204" t="s">
        <v>15</v>
      </c>
      <c r="D204">
        <v>33470</v>
      </c>
      <c r="E204">
        <v>1556</v>
      </c>
      <c r="F204">
        <v>48</v>
      </c>
      <c r="G204">
        <v>5270.27</v>
      </c>
      <c r="H204">
        <v>5924.31</v>
      </c>
    </row>
    <row r="205" spans="1:8" x14ac:dyDescent="0.3">
      <c r="A205" s="1">
        <v>45332</v>
      </c>
      <c r="B205" t="s">
        <v>11</v>
      </c>
      <c r="C205" t="s">
        <v>16</v>
      </c>
      <c r="D205">
        <v>17254</v>
      </c>
      <c r="E205">
        <v>1146</v>
      </c>
      <c r="F205">
        <v>121</v>
      </c>
      <c r="G205">
        <v>3058.84</v>
      </c>
      <c r="H205">
        <v>16142.79</v>
      </c>
    </row>
    <row r="206" spans="1:8" x14ac:dyDescent="0.3">
      <c r="A206" s="1">
        <v>45332</v>
      </c>
      <c r="B206" t="s">
        <v>12</v>
      </c>
      <c r="C206" t="s">
        <v>17</v>
      </c>
      <c r="D206">
        <v>20896</v>
      </c>
      <c r="E206">
        <v>1530</v>
      </c>
      <c r="F206">
        <v>159</v>
      </c>
      <c r="G206">
        <v>4087.51</v>
      </c>
      <c r="H206">
        <v>7262.41</v>
      </c>
    </row>
    <row r="207" spans="1:8" x14ac:dyDescent="0.3">
      <c r="A207" s="1">
        <v>45333</v>
      </c>
      <c r="B207" t="s">
        <v>8</v>
      </c>
      <c r="C207" t="s">
        <v>13</v>
      </c>
      <c r="D207">
        <v>32935</v>
      </c>
      <c r="E207">
        <v>1956</v>
      </c>
      <c r="F207">
        <v>274</v>
      </c>
      <c r="G207">
        <v>2518.4499999999998</v>
      </c>
      <c r="H207">
        <v>28077.87</v>
      </c>
    </row>
    <row r="208" spans="1:8" x14ac:dyDescent="0.3">
      <c r="A208" s="1">
        <v>45333</v>
      </c>
      <c r="B208" t="s">
        <v>9</v>
      </c>
      <c r="C208" t="s">
        <v>14</v>
      </c>
      <c r="D208">
        <v>33921</v>
      </c>
      <c r="E208">
        <v>1082</v>
      </c>
      <c r="F208">
        <v>38</v>
      </c>
      <c r="G208">
        <v>3001.21</v>
      </c>
      <c r="H208">
        <v>2325.06</v>
      </c>
    </row>
    <row r="209" spans="1:8" x14ac:dyDescent="0.3">
      <c r="A209" s="1">
        <v>45333</v>
      </c>
      <c r="B209" t="s">
        <v>10</v>
      </c>
      <c r="C209" t="s">
        <v>15</v>
      </c>
      <c r="D209">
        <v>13007</v>
      </c>
      <c r="E209">
        <v>1014</v>
      </c>
      <c r="F209">
        <v>144</v>
      </c>
      <c r="G209">
        <v>2109.5</v>
      </c>
      <c r="H209">
        <v>19414.759999999998</v>
      </c>
    </row>
    <row r="210" spans="1:8" x14ac:dyDescent="0.3">
      <c r="A210" s="1">
        <v>45333</v>
      </c>
      <c r="B210" t="s">
        <v>11</v>
      </c>
      <c r="C210" t="s">
        <v>16</v>
      </c>
      <c r="D210">
        <v>30510</v>
      </c>
      <c r="E210">
        <v>1277</v>
      </c>
      <c r="F210">
        <v>112</v>
      </c>
      <c r="G210">
        <v>3243.93</v>
      </c>
      <c r="H210">
        <v>12490.06</v>
      </c>
    </row>
    <row r="211" spans="1:8" x14ac:dyDescent="0.3">
      <c r="A211" s="1">
        <v>45333</v>
      </c>
      <c r="B211" t="s">
        <v>12</v>
      </c>
      <c r="C211" t="s">
        <v>17</v>
      </c>
      <c r="D211">
        <v>35907</v>
      </c>
      <c r="E211">
        <v>1568</v>
      </c>
      <c r="F211">
        <v>211</v>
      </c>
      <c r="G211">
        <v>3499.33</v>
      </c>
      <c r="H211">
        <v>18676.36</v>
      </c>
    </row>
    <row r="212" spans="1:8" x14ac:dyDescent="0.3">
      <c r="A212" s="1">
        <v>45334</v>
      </c>
      <c r="B212" t="s">
        <v>8</v>
      </c>
      <c r="C212" t="s">
        <v>13</v>
      </c>
      <c r="D212">
        <v>28510</v>
      </c>
      <c r="E212">
        <v>415</v>
      </c>
      <c r="F212">
        <v>25</v>
      </c>
      <c r="G212">
        <v>936.5</v>
      </c>
      <c r="H212">
        <v>3174.49</v>
      </c>
    </row>
    <row r="213" spans="1:8" x14ac:dyDescent="0.3">
      <c r="A213" s="1">
        <v>45334</v>
      </c>
      <c r="B213" t="s">
        <v>9</v>
      </c>
      <c r="C213" t="s">
        <v>14</v>
      </c>
      <c r="D213">
        <v>12564</v>
      </c>
      <c r="E213">
        <v>676</v>
      </c>
      <c r="F213">
        <v>91</v>
      </c>
      <c r="G213">
        <v>1664.87</v>
      </c>
      <c r="H213">
        <v>5971.92</v>
      </c>
    </row>
    <row r="214" spans="1:8" x14ac:dyDescent="0.3">
      <c r="A214" s="1">
        <v>45334</v>
      </c>
      <c r="B214" t="s">
        <v>10</v>
      </c>
      <c r="C214" t="s">
        <v>15</v>
      </c>
      <c r="D214">
        <v>13502</v>
      </c>
      <c r="E214">
        <v>571</v>
      </c>
      <c r="F214">
        <v>84</v>
      </c>
      <c r="G214">
        <v>457.17</v>
      </c>
      <c r="H214">
        <v>5073.7700000000004</v>
      </c>
    </row>
    <row r="215" spans="1:8" x14ac:dyDescent="0.3">
      <c r="A215" s="1">
        <v>45334</v>
      </c>
      <c r="B215" t="s">
        <v>11</v>
      </c>
      <c r="C215" t="s">
        <v>16</v>
      </c>
      <c r="D215">
        <v>34969</v>
      </c>
      <c r="E215">
        <v>2648</v>
      </c>
      <c r="F215">
        <v>327</v>
      </c>
      <c r="G215">
        <v>9253.23</v>
      </c>
      <c r="H215">
        <v>25695.1</v>
      </c>
    </row>
    <row r="216" spans="1:8" x14ac:dyDescent="0.3">
      <c r="A216" s="1">
        <v>45334</v>
      </c>
      <c r="B216" t="s">
        <v>12</v>
      </c>
      <c r="C216" t="s">
        <v>17</v>
      </c>
      <c r="D216">
        <v>34629</v>
      </c>
      <c r="E216">
        <v>560</v>
      </c>
      <c r="F216">
        <v>13</v>
      </c>
      <c r="G216">
        <v>1173.43</v>
      </c>
      <c r="H216">
        <v>1350.48</v>
      </c>
    </row>
    <row r="217" spans="1:8" x14ac:dyDescent="0.3">
      <c r="A217" s="1">
        <v>45335</v>
      </c>
      <c r="B217" t="s">
        <v>8</v>
      </c>
      <c r="C217" t="s">
        <v>13</v>
      </c>
      <c r="D217">
        <v>23155</v>
      </c>
      <c r="E217">
        <v>1826</v>
      </c>
      <c r="F217">
        <v>218</v>
      </c>
      <c r="G217">
        <v>3520.47</v>
      </c>
      <c r="H217">
        <v>18824.14</v>
      </c>
    </row>
    <row r="218" spans="1:8" x14ac:dyDescent="0.3">
      <c r="A218" s="1">
        <v>45335</v>
      </c>
      <c r="B218" t="s">
        <v>9</v>
      </c>
      <c r="C218" t="s">
        <v>14</v>
      </c>
      <c r="D218">
        <v>17676</v>
      </c>
      <c r="E218">
        <v>1082</v>
      </c>
      <c r="F218">
        <v>22</v>
      </c>
      <c r="G218">
        <v>2230.8000000000002</v>
      </c>
      <c r="H218">
        <v>1598.75</v>
      </c>
    </row>
    <row r="219" spans="1:8" x14ac:dyDescent="0.3">
      <c r="A219" s="1">
        <v>45335</v>
      </c>
      <c r="B219" t="s">
        <v>10</v>
      </c>
      <c r="C219" t="s">
        <v>15</v>
      </c>
      <c r="D219">
        <v>39801</v>
      </c>
      <c r="E219">
        <v>1223</v>
      </c>
      <c r="F219">
        <v>61</v>
      </c>
      <c r="G219">
        <v>1117.4000000000001</v>
      </c>
      <c r="H219">
        <v>2559.9299999999998</v>
      </c>
    </row>
    <row r="220" spans="1:8" x14ac:dyDescent="0.3">
      <c r="A220" s="1">
        <v>45335</v>
      </c>
      <c r="B220" t="s">
        <v>11</v>
      </c>
      <c r="C220" t="s">
        <v>16</v>
      </c>
      <c r="D220">
        <v>29557</v>
      </c>
      <c r="E220">
        <v>388</v>
      </c>
      <c r="F220">
        <v>13</v>
      </c>
      <c r="G220">
        <v>720.67</v>
      </c>
      <c r="H220">
        <v>697.95</v>
      </c>
    </row>
    <row r="221" spans="1:8" x14ac:dyDescent="0.3">
      <c r="A221" s="1">
        <v>45335</v>
      </c>
      <c r="B221" t="s">
        <v>12</v>
      </c>
      <c r="C221" t="s">
        <v>17</v>
      </c>
      <c r="D221">
        <v>6828</v>
      </c>
      <c r="E221">
        <v>444</v>
      </c>
      <c r="F221">
        <v>14</v>
      </c>
      <c r="G221">
        <v>855.8</v>
      </c>
      <c r="H221">
        <v>1913.84</v>
      </c>
    </row>
    <row r="222" spans="1:8" x14ac:dyDescent="0.3">
      <c r="A222" s="1">
        <v>45336</v>
      </c>
      <c r="B222" t="s">
        <v>8</v>
      </c>
      <c r="C222" t="s">
        <v>13</v>
      </c>
      <c r="D222">
        <v>34757</v>
      </c>
      <c r="E222">
        <v>1839</v>
      </c>
      <c r="F222">
        <v>76</v>
      </c>
      <c r="G222">
        <v>6392.65</v>
      </c>
      <c r="H222">
        <v>4976.78</v>
      </c>
    </row>
    <row r="223" spans="1:8" x14ac:dyDescent="0.3">
      <c r="A223" s="1">
        <v>45336</v>
      </c>
      <c r="B223" t="s">
        <v>9</v>
      </c>
      <c r="C223" t="s">
        <v>14</v>
      </c>
      <c r="D223">
        <v>20934</v>
      </c>
      <c r="E223">
        <v>547</v>
      </c>
      <c r="F223">
        <v>70</v>
      </c>
      <c r="G223">
        <v>615.33000000000004</v>
      </c>
      <c r="H223">
        <v>3161.48</v>
      </c>
    </row>
    <row r="224" spans="1:8" x14ac:dyDescent="0.3">
      <c r="A224" s="1">
        <v>45336</v>
      </c>
      <c r="B224" t="s">
        <v>10</v>
      </c>
      <c r="C224" t="s">
        <v>15</v>
      </c>
      <c r="D224">
        <v>22320</v>
      </c>
      <c r="E224">
        <v>514</v>
      </c>
      <c r="F224">
        <v>62</v>
      </c>
      <c r="G224">
        <v>897.1</v>
      </c>
      <c r="H224">
        <v>2874.49</v>
      </c>
    </row>
    <row r="225" spans="1:8" x14ac:dyDescent="0.3">
      <c r="A225" s="1">
        <v>45336</v>
      </c>
      <c r="B225" t="s">
        <v>11</v>
      </c>
      <c r="C225" t="s">
        <v>16</v>
      </c>
      <c r="D225">
        <v>12214</v>
      </c>
      <c r="E225">
        <v>307</v>
      </c>
      <c r="F225">
        <v>26</v>
      </c>
      <c r="G225">
        <v>740.68</v>
      </c>
      <c r="H225">
        <v>2541.59</v>
      </c>
    </row>
    <row r="226" spans="1:8" x14ac:dyDescent="0.3">
      <c r="A226" s="1">
        <v>45336</v>
      </c>
      <c r="B226" t="s">
        <v>12</v>
      </c>
      <c r="C226" t="s">
        <v>17</v>
      </c>
      <c r="D226">
        <v>12657</v>
      </c>
      <c r="E226">
        <v>583</v>
      </c>
      <c r="F226">
        <v>48</v>
      </c>
      <c r="G226">
        <v>2034.73</v>
      </c>
      <c r="H226">
        <v>6658.46</v>
      </c>
    </row>
    <row r="227" spans="1:8" x14ac:dyDescent="0.3">
      <c r="A227" s="1">
        <v>45337</v>
      </c>
      <c r="B227" t="s">
        <v>8</v>
      </c>
      <c r="C227" t="s">
        <v>13</v>
      </c>
      <c r="D227">
        <v>12906</v>
      </c>
      <c r="E227">
        <v>331</v>
      </c>
      <c r="F227">
        <v>16</v>
      </c>
      <c r="G227">
        <v>744.69</v>
      </c>
      <c r="H227">
        <v>1683.57</v>
      </c>
    </row>
    <row r="228" spans="1:8" x14ac:dyDescent="0.3">
      <c r="A228" s="1">
        <v>45337</v>
      </c>
      <c r="B228" t="s">
        <v>9</v>
      </c>
      <c r="C228" t="s">
        <v>14</v>
      </c>
      <c r="D228">
        <v>39701</v>
      </c>
      <c r="E228">
        <v>2787</v>
      </c>
      <c r="F228">
        <v>221</v>
      </c>
      <c r="G228">
        <v>5173.1099999999997</v>
      </c>
      <c r="H228">
        <v>15475.64</v>
      </c>
    </row>
    <row r="229" spans="1:8" x14ac:dyDescent="0.3">
      <c r="A229" s="1">
        <v>45337</v>
      </c>
      <c r="B229" t="s">
        <v>10</v>
      </c>
      <c r="C229" t="s">
        <v>15</v>
      </c>
      <c r="D229">
        <v>37284</v>
      </c>
      <c r="E229">
        <v>2692</v>
      </c>
      <c r="F229">
        <v>388</v>
      </c>
      <c r="G229">
        <v>8419.89</v>
      </c>
      <c r="H229">
        <v>50070.15</v>
      </c>
    </row>
    <row r="230" spans="1:8" x14ac:dyDescent="0.3">
      <c r="A230" s="1">
        <v>45337</v>
      </c>
      <c r="B230" t="s">
        <v>11</v>
      </c>
      <c r="C230" t="s">
        <v>16</v>
      </c>
      <c r="D230">
        <v>20585</v>
      </c>
      <c r="E230">
        <v>794</v>
      </c>
      <c r="F230">
        <v>54</v>
      </c>
      <c r="G230">
        <v>1192.06</v>
      </c>
      <c r="H230">
        <v>6457.12</v>
      </c>
    </row>
    <row r="231" spans="1:8" x14ac:dyDescent="0.3">
      <c r="A231" s="1">
        <v>45337</v>
      </c>
      <c r="B231" t="s">
        <v>12</v>
      </c>
      <c r="C231" t="s">
        <v>17</v>
      </c>
      <c r="D231">
        <v>34125</v>
      </c>
      <c r="E231">
        <v>2639</v>
      </c>
      <c r="F231">
        <v>90</v>
      </c>
      <c r="G231">
        <v>8484.64</v>
      </c>
      <c r="H231">
        <v>13415.61</v>
      </c>
    </row>
    <row r="232" spans="1:8" x14ac:dyDescent="0.3">
      <c r="A232" s="1">
        <v>45338</v>
      </c>
      <c r="B232" t="s">
        <v>8</v>
      </c>
      <c r="C232" t="s">
        <v>13</v>
      </c>
      <c r="D232">
        <v>14516</v>
      </c>
      <c r="E232">
        <v>633</v>
      </c>
      <c r="F232">
        <v>61</v>
      </c>
      <c r="G232">
        <v>1915.86</v>
      </c>
      <c r="H232">
        <v>4773.8</v>
      </c>
    </row>
    <row r="233" spans="1:8" x14ac:dyDescent="0.3">
      <c r="A233" s="1">
        <v>45338</v>
      </c>
      <c r="B233" t="s">
        <v>9</v>
      </c>
      <c r="C233" t="s">
        <v>14</v>
      </c>
      <c r="D233">
        <v>35561</v>
      </c>
      <c r="E233">
        <v>1709</v>
      </c>
      <c r="F233">
        <v>226</v>
      </c>
      <c r="G233">
        <v>4753.68</v>
      </c>
      <c r="H233">
        <v>21998.53</v>
      </c>
    </row>
    <row r="234" spans="1:8" x14ac:dyDescent="0.3">
      <c r="A234" s="1">
        <v>45338</v>
      </c>
      <c r="B234" t="s">
        <v>10</v>
      </c>
      <c r="C234" t="s">
        <v>15</v>
      </c>
      <c r="D234">
        <v>24623</v>
      </c>
      <c r="E234">
        <v>669</v>
      </c>
      <c r="F234">
        <v>27</v>
      </c>
      <c r="G234">
        <v>824.93</v>
      </c>
      <c r="H234">
        <v>2072.0100000000002</v>
      </c>
    </row>
    <row r="235" spans="1:8" x14ac:dyDescent="0.3">
      <c r="A235" s="1">
        <v>45338</v>
      </c>
      <c r="B235" t="s">
        <v>11</v>
      </c>
      <c r="C235" t="s">
        <v>16</v>
      </c>
      <c r="D235">
        <v>37088</v>
      </c>
      <c r="E235">
        <v>2785</v>
      </c>
      <c r="F235">
        <v>94</v>
      </c>
      <c r="G235">
        <v>7484.06</v>
      </c>
      <c r="H235">
        <v>5716.55</v>
      </c>
    </row>
    <row r="236" spans="1:8" x14ac:dyDescent="0.3">
      <c r="A236" s="1">
        <v>45338</v>
      </c>
      <c r="B236" t="s">
        <v>12</v>
      </c>
      <c r="C236" t="s">
        <v>17</v>
      </c>
      <c r="D236">
        <v>14017</v>
      </c>
      <c r="E236">
        <v>596</v>
      </c>
      <c r="F236">
        <v>80</v>
      </c>
      <c r="G236">
        <v>485.08</v>
      </c>
      <c r="H236">
        <v>10415.530000000001</v>
      </c>
    </row>
    <row r="237" spans="1:8" x14ac:dyDescent="0.3">
      <c r="A237" s="1">
        <v>45339</v>
      </c>
      <c r="B237" t="s">
        <v>8</v>
      </c>
      <c r="C237" t="s">
        <v>13</v>
      </c>
      <c r="D237">
        <v>16700</v>
      </c>
      <c r="E237">
        <v>1036</v>
      </c>
      <c r="F237">
        <v>42</v>
      </c>
      <c r="G237">
        <v>3116.82</v>
      </c>
      <c r="H237">
        <v>5524.46</v>
      </c>
    </row>
    <row r="238" spans="1:8" x14ac:dyDescent="0.3">
      <c r="A238" s="1">
        <v>45339</v>
      </c>
      <c r="B238" t="s">
        <v>9</v>
      </c>
      <c r="C238" t="s">
        <v>14</v>
      </c>
      <c r="D238">
        <v>31588</v>
      </c>
      <c r="E238">
        <v>887</v>
      </c>
      <c r="F238">
        <v>40</v>
      </c>
      <c r="G238">
        <v>911.01</v>
      </c>
      <c r="H238">
        <v>3036.31</v>
      </c>
    </row>
    <row r="239" spans="1:8" x14ac:dyDescent="0.3">
      <c r="A239" s="1">
        <v>45339</v>
      </c>
      <c r="B239" t="s">
        <v>10</v>
      </c>
      <c r="C239" t="s">
        <v>15</v>
      </c>
      <c r="D239">
        <v>39832</v>
      </c>
      <c r="E239">
        <v>721</v>
      </c>
      <c r="F239">
        <v>49</v>
      </c>
      <c r="G239">
        <v>594.46</v>
      </c>
      <c r="H239">
        <v>6372.68</v>
      </c>
    </row>
    <row r="240" spans="1:8" x14ac:dyDescent="0.3">
      <c r="A240" s="1">
        <v>45339</v>
      </c>
      <c r="B240" t="s">
        <v>11</v>
      </c>
      <c r="C240" t="s">
        <v>16</v>
      </c>
      <c r="D240">
        <v>6007</v>
      </c>
      <c r="E240">
        <v>105</v>
      </c>
      <c r="F240">
        <v>12</v>
      </c>
      <c r="G240">
        <v>237.45</v>
      </c>
      <c r="H240">
        <v>1751.15</v>
      </c>
    </row>
    <row r="241" spans="1:8" x14ac:dyDescent="0.3">
      <c r="A241" s="1">
        <v>45339</v>
      </c>
      <c r="B241" t="s">
        <v>12</v>
      </c>
      <c r="C241" t="s">
        <v>17</v>
      </c>
      <c r="D241">
        <v>6435</v>
      </c>
      <c r="E241">
        <v>349</v>
      </c>
      <c r="F241">
        <v>49</v>
      </c>
      <c r="G241">
        <v>375.79</v>
      </c>
      <c r="H241">
        <v>7011.66</v>
      </c>
    </row>
    <row r="242" spans="1:8" x14ac:dyDescent="0.3">
      <c r="A242" s="1">
        <v>45340</v>
      </c>
      <c r="B242" t="s">
        <v>8</v>
      </c>
      <c r="C242" t="s">
        <v>13</v>
      </c>
      <c r="D242">
        <v>23271</v>
      </c>
      <c r="E242">
        <v>1488</v>
      </c>
      <c r="F242">
        <v>213</v>
      </c>
      <c r="G242">
        <v>1858.84</v>
      </c>
      <c r="H242">
        <v>26584.16</v>
      </c>
    </row>
    <row r="243" spans="1:8" x14ac:dyDescent="0.3">
      <c r="A243" s="1">
        <v>45340</v>
      </c>
      <c r="B243" t="s">
        <v>9</v>
      </c>
      <c r="C243" t="s">
        <v>14</v>
      </c>
      <c r="D243">
        <v>13073</v>
      </c>
      <c r="E243">
        <v>564</v>
      </c>
      <c r="F243">
        <v>15</v>
      </c>
      <c r="G243">
        <v>564.94000000000005</v>
      </c>
      <c r="H243">
        <v>2006.48</v>
      </c>
    </row>
    <row r="244" spans="1:8" x14ac:dyDescent="0.3">
      <c r="A244" s="1">
        <v>45340</v>
      </c>
      <c r="B244" t="s">
        <v>10</v>
      </c>
      <c r="C244" t="s">
        <v>15</v>
      </c>
      <c r="D244">
        <v>28821</v>
      </c>
      <c r="E244">
        <v>2252</v>
      </c>
      <c r="F244">
        <v>328</v>
      </c>
      <c r="G244">
        <v>6359.78</v>
      </c>
      <c r="H244">
        <v>17813.509999999998</v>
      </c>
    </row>
    <row r="245" spans="1:8" x14ac:dyDescent="0.3">
      <c r="A245" s="1">
        <v>45340</v>
      </c>
      <c r="B245" t="s">
        <v>11</v>
      </c>
      <c r="C245" t="s">
        <v>16</v>
      </c>
      <c r="D245">
        <v>32083</v>
      </c>
      <c r="E245">
        <v>376</v>
      </c>
      <c r="F245">
        <v>8</v>
      </c>
      <c r="G245">
        <v>629.33000000000004</v>
      </c>
      <c r="H245">
        <v>750.01</v>
      </c>
    </row>
    <row r="246" spans="1:8" x14ac:dyDescent="0.3">
      <c r="A246" s="1">
        <v>45340</v>
      </c>
      <c r="B246" t="s">
        <v>12</v>
      </c>
      <c r="C246" t="s">
        <v>17</v>
      </c>
      <c r="D246">
        <v>32570</v>
      </c>
      <c r="E246">
        <v>901</v>
      </c>
      <c r="F246">
        <v>18</v>
      </c>
      <c r="G246">
        <v>1107.45</v>
      </c>
      <c r="H246">
        <v>1647.71</v>
      </c>
    </row>
    <row r="247" spans="1:8" x14ac:dyDescent="0.3">
      <c r="A247" s="1">
        <v>45341</v>
      </c>
      <c r="B247" t="s">
        <v>8</v>
      </c>
      <c r="C247" t="s">
        <v>13</v>
      </c>
      <c r="D247">
        <v>19288</v>
      </c>
      <c r="E247">
        <v>330</v>
      </c>
      <c r="F247">
        <v>43</v>
      </c>
      <c r="G247">
        <v>733.58</v>
      </c>
      <c r="H247">
        <v>5626.61</v>
      </c>
    </row>
    <row r="248" spans="1:8" x14ac:dyDescent="0.3">
      <c r="A248" s="1">
        <v>45341</v>
      </c>
      <c r="B248" t="s">
        <v>9</v>
      </c>
      <c r="C248" t="s">
        <v>14</v>
      </c>
      <c r="D248">
        <v>22482</v>
      </c>
      <c r="E248">
        <v>572</v>
      </c>
      <c r="F248">
        <v>17</v>
      </c>
      <c r="G248">
        <v>1508.56</v>
      </c>
      <c r="H248">
        <v>1903.94</v>
      </c>
    </row>
    <row r="249" spans="1:8" x14ac:dyDescent="0.3">
      <c r="A249" s="1">
        <v>45341</v>
      </c>
      <c r="B249" t="s">
        <v>10</v>
      </c>
      <c r="C249" t="s">
        <v>15</v>
      </c>
      <c r="D249">
        <v>27042</v>
      </c>
      <c r="E249">
        <v>1913</v>
      </c>
      <c r="F249">
        <v>277</v>
      </c>
      <c r="G249">
        <v>1692.08</v>
      </c>
      <c r="H249">
        <v>33361.800000000003</v>
      </c>
    </row>
    <row r="250" spans="1:8" x14ac:dyDescent="0.3">
      <c r="A250" s="1">
        <v>45341</v>
      </c>
      <c r="B250" t="s">
        <v>11</v>
      </c>
      <c r="C250" t="s">
        <v>16</v>
      </c>
      <c r="D250">
        <v>21335</v>
      </c>
      <c r="E250">
        <v>1493</v>
      </c>
      <c r="F250">
        <v>217</v>
      </c>
      <c r="G250">
        <v>4258.42</v>
      </c>
      <c r="H250">
        <v>19237.669999999998</v>
      </c>
    </row>
    <row r="251" spans="1:8" x14ac:dyDescent="0.3">
      <c r="A251" s="1">
        <v>45341</v>
      </c>
      <c r="B251" t="s">
        <v>12</v>
      </c>
      <c r="C251" t="s">
        <v>17</v>
      </c>
      <c r="D251">
        <v>10626</v>
      </c>
      <c r="E251">
        <v>410</v>
      </c>
      <c r="F251">
        <v>55</v>
      </c>
      <c r="G251">
        <v>582.55999999999995</v>
      </c>
      <c r="H251">
        <v>3489.28</v>
      </c>
    </row>
    <row r="252" spans="1:8" x14ac:dyDescent="0.3">
      <c r="A252" s="1">
        <v>45342</v>
      </c>
      <c r="B252" t="s">
        <v>8</v>
      </c>
      <c r="C252" t="s">
        <v>13</v>
      </c>
      <c r="D252">
        <v>31431</v>
      </c>
      <c r="E252">
        <v>2224</v>
      </c>
      <c r="F252">
        <v>251</v>
      </c>
      <c r="G252">
        <v>5158.3999999999996</v>
      </c>
      <c r="H252">
        <v>23059.01</v>
      </c>
    </row>
    <row r="253" spans="1:8" x14ac:dyDescent="0.3">
      <c r="A253" s="1">
        <v>45342</v>
      </c>
      <c r="B253" t="s">
        <v>9</v>
      </c>
      <c r="C253" t="s">
        <v>14</v>
      </c>
      <c r="D253">
        <v>24994</v>
      </c>
      <c r="E253">
        <v>1943</v>
      </c>
      <c r="F253">
        <v>85</v>
      </c>
      <c r="G253">
        <v>6111.28</v>
      </c>
      <c r="H253">
        <v>10661.18</v>
      </c>
    </row>
    <row r="254" spans="1:8" x14ac:dyDescent="0.3">
      <c r="A254" s="1">
        <v>45342</v>
      </c>
      <c r="B254" t="s">
        <v>10</v>
      </c>
      <c r="C254" t="s">
        <v>15</v>
      </c>
      <c r="D254">
        <v>13782</v>
      </c>
      <c r="E254">
        <v>575</v>
      </c>
      <c r="F254">
        <v>51</v>
      </c>
      <c r="G254">
        <v>487.73</v>
      </c>
      <c r="H254">
        <v>6510.04</v>
      </c>
    </row>
    <row r="255" spans="1:8" x14ac:dyDescent="0.3">
      <c r="A255" s="1">
        <v>45342</v>
      </c>
      <c r="B255" t="s">
        <v>11</v>
      </c>
      <c r="C255" t="s">
        <v>16</v>
      </c>
      <c r="D255">
        <v>10655</v>
      </c>
      <c r="E255">
        <v>793</v>
      </c>
      <c r="F255">
        <v>79</v>
      </c>
      <c r="G255">
        <v>2339.87</v>
      </c>
      <c r="H255">
        <v>7344.43</v>
      </c>
    </row>
    <row r="256" spans="1:8" x14ac:dyDescent="0.3">
      <c r="A256" s="1">
        <v>45342</v>
      </c>
      <c r="B256" t="s">
        <v>12</v>
      </c>
      <c r="C256" t="s">
        <v>17</v>
      </c>
      <c r="D256">
        <v>16536</v>
      </c>
      <c r="E256">
        <v>868</v>
      </c>
      <c r="F256">
        <v>45</v>
      </c>
      <c r="G256">
        <v>2003.1</v>
      </c>
      <c r="H256">
        <v>2916.42</v>
      </c>
    </row>
    <row r="257" spans="1:8" x14ac:dyDescent="0.3">
      <c r="A257" s="1">
        <v>45343</v>
      </c>
      <c r="B257" t="s">
        <v>8</v>
      </c>
      <c r="C257" t="s">
        <v>13</v>
      </c>
      <c r="D257">
        <v>10109</v>
      </c>
      <c r="E257">
        <v>331</v>
      </c>
      <c r="F257">
        <v>32</v>
      </c>
      <c r="G257">
        <v>651.99</v>
      </c>
      <c r="H257">
        <v>4744.92</v>
      </c>
    </row>
    <row r="258" spans="1:8" x14ac:dyDescent="0.3">
      <c r="A258" s="1">
        <v>45343</v>
      </c>
      <c r="B258" t="s">
        <v>9</v>
      </c>
      <c r="C258" t="s">
        <v>14</v>
      </c>
      <c r="D258">
        <v>31589</v>
      </c>
      <c r="E258">
        <v>1183</v>
      </c>
      <c r="F258">
        <v>97</v>
      </c>
      <c r="G258">
        <v>2862.93</v>
      </c>
      <c r="H258">
        <v>6992.04</v>
      </c>
    </row>
    <row r="259" spans="1:8" x14ac:dyDescent="0.3">
      <c r="A259" s="1">
        <v>45343</v>
      </c>
      <c r="B259" t="s">
        <v>10</v>
      </c>
      <c r="C259" t="s">
        <v>15</v>
      </c>
      <c r="D259">
        <v>26804</v>
      </c>
      <c r="E259">
        <v>1688</v>
      </c>
      <c r="F259">
        <v>242</v>
      </c>
      <c r="G259">
        <v>5487.87</v>
      </c>
      <c r="H259">
        <v>28960.47</v>
      </c>
    </row>
    <row r="260" spans="1:8" x14ac:dyDescent="0.3">
      <c r="A260" s="1">
        <v>45343</v>
      </c>
      <c r="B260" t="s">
        <v>11</v>
      </c>
      <c r="C260" t="s">
        <v>16</v>
      </c>
      <c r="D260">
        <v>8762</v>
      </c>
      <c r="E260">
        <v>151</v>
      </c>
      <c r="F260">
        <v>7</v>
      </c>
      <c r="G260">
        <v>523.05999999999995</v>
      </c>
      <c r="H260">
        <v>389.72</v>
      </c>
    </row>
    <row r="261" spans="1:8" x14ac:dyDescent="0.3">
      <c r="A261" s="1">
        <v>45343</v>
      </c>
      <c r="B261" t="s">
        <v>12</v>
      </c>
      <c r="C261" t="s">
        <v>17</v>
      </c>
      <c r="D261">
        <v>13783</v>
      </c>
      <c r="E261">
        <v>603</v>
      </c>
      <c r="F261">
        <v>28</v>
      </c>
      <c r="G261">
        <v>1045.75</v>
      </c>
      <c r="H261">
        <v>3509.48</v>
      </c>
    </row>
    <row r="262" spans="1:8" x14ac:dyDescent="0.3">
      <c r="A262" s="1">
        <v>45344</v>
      </c>
      <c r="B262" t="s">
        <v>8</v>
      </c>
      <c r="C262" t="s">
        <v>13</v>
      </c>
      <c r="D262">
        <v>11368</v>
      </c>
      <c r="E262">
        <v>183</v>
      </c>
      <c r="F262">
        <v>12</v>
      </c>
      <c r="G262">
        <v>162.81</v>
      </c>
      <c r="H262">
        <v>583.72</v>
      </c>
    </row>
    <row r="263" spans="1:8" x14ac:dyDescent="0.3">
      <c r="A263" s="1">
        <v>45344</v>
      </c>
      <c r="B263" t="s">
        <v>9</v>
      </c>
      <c r="C263" t="s">
        <v>14</v>
      </c>
      <c r="D263">
        <v>20525</v>
      </c>
      <c r="E263">
        <v>1020</v>
      </c>
      <c r="F263">
        <v>111</v>
      </c>
      <c r="G263">
        <v>3020.82</v>
      </c>
      <c r="H263">
        <v>6883.83</v>
      </c>
    </row>
    <row r="264" spans="1:8" x14ac:dyDescent="0.3">
      <c r="A264" s="1">
        <v>45344</v>
      </c>
      <c r="B264" t="s">
        <v>10</v>
      </c>
      <c r="C264" t="s">
        <v>15</v>
      </c>
      <c r="D264">
        <v>14078</v>
      </c>
      <c r="E264">
        <v>801</v>
      </c>
      <c r="F264">
        <v>115</v>
      </c>
      <c r="G264">
        <v>909.45</v>
      </c>
      <c r="H264">
        <v>15937.2</v>
      </c>
    </row>
    <row r="265" spans="1:8" x14ac:dyDescent="0.3">
      <c r="A265" s="1">
        <v>45344</v>
      </c>
      <c r="B265" t="s">
        <v>11</v>
      </c>
      <c r="C265" t="s">
        <v>16</v>
      </c>
      <c r="D265">
        <v>23440</v>
      </c>
      <c r="E265">
        <v>1770</v>
      </c>
      <c r="F265">
        <v>47</v>
      </c>
      <c r="G265">
        <v>4002.86</v>
      </c>
      <c r="H265">
        <v>5545.84</v>
      </c>
    </row>
    <row r="266" spans="1:8" x14ac:dyDescent="0.3">
      <c r="A266" s="1">
        <v>45344</v>
      </c>
      <c r="B266" t="s">
        <v>12</v>
      </c>
      <c r="C266" t="s">
        <v>17</v>
      </c>
      <c r="D266">
        <v>31289</v>
      </c>
      <c r="E266">
        <v>1682</v>
      </c>
      <c r="F266">
        <v>204</v>
      </c>
      <c r="G266">
        <v>4126.1099999999997</v>
      </c>
      <c r="H266">
        <v>19029.900000000001</v>
      </c>
    </row>
    <row r="267" spans="1:8" x14ac:dyDescent="0.3">
      <c r="A267" s="1">
        <v>45345</v>
      </c>
      <c r="B267" t="s">
        <v>8</v>
      </c>
      <c r="C267" t="s">
        <v>13</v>
      </c>
      <c r="D267">
        <v>38226</v>
      </c>
      <c r="E267">
        <v>2776</v>
      </c>
      <c r="F267">
        <v>253</v>
      </c>
      <c r="G267">
        <v>8346.61</v>
      </c>
      <c r="H267">
        <v>22708.02</v>
      </c>
    </row>
    <row r="268" spans="1:8" x14ac:dyDescent="0.3">
      <c r="A268" s="1">
        <v>45345</v>
      </c>
      <c r="B268" t="s">
        <v>9</v>
      </c>
      <c r="C268" t="s">
        <v>14</v>
      </c>
      <c r="D268">
        <v>38282</v>
      </c>
      <c r="E268">
        <v>492</v>
      </c>
      <c r="F268">
        <v>20</v>
      </c>
      <c r="G268">
        <v>976.25</v>
      </c>
      <c r="H268">
        <v>2394.62</v>
      </c>
    </row>
    <row r="269" spans="1:8" x14ac:dyDescent="0.3">
      <c r="A269" s="1">
        <v>45345</v>
      </c>
      <c r="B269" t="s">
        <v>10</v>
      </c>
      <c r="C269" t="s">
        <v>15</v>
      </c>
      <c r="D269">
        <v>12179</v>
      </c>
      <c r="E269">
        <v>332</v>
      </c>
      <c r="F269">
        <v>13</v>
      </c>
      <c r="G269">
        <v>1047.07</v>
      </c>
      <c r="H269">
        <v>833.48</v>
      </c>
    </row>
    <row r="270" spans="1:8" x14ac:dyDescent="0.3">
      <c r="A270" s="1">
        <v>45345</v>
      </c>
      <c r="B270" t="s">
        <v>11</v>
      </c>
      <c r="C270" t="s">
        <v>16</v>
      </c>
      <c r="D270">
        <v>25022</v>
      </c>
      <c r="E270">
        <v>1073</v>
      </c>
      <c r="F270">
        <v>125</v>
      </c>
      <c r="G270">
        <v>3384.19</v>
      </c>
      <c r="H270">
        <v>10962.76</v>
      </c>
    </row>
    <row r="271" spans="1:8" x14ac:dyDescent="0.3">
      <c r="A271" s="1">
        <v>45345</v>
      </c>
      <c r="B271" t="s">
        <v>12</v>
      </c>
      <c r="C271" t="s">
        <v>17</v>
      </c>
      <c r="D271">
        <v>31911</v>
      </c>
      <c r="E271">
        <v>1431</v>
      </c>
      <c r="F271">
        <v>131</v>
      </c>
      <c r="G271">
        <v>3923.58</v>
      </c>
      <c r="H271">
        <v>8532.0300000000007</v>
      </c>
    </row>
    <row r="272" spans="1:8" x14ac:dyDescent="0.3">
      <c r="A272" s="1">
        <v>45346</v>
      </c>
      <c r="B272" t="s">
        <v>8</v>
      </c>
      <c r="C272" t="s">
        <v>13</v>
      </c>
      <c r="D272">
        <v>7920</v>
      </c>
      <c r="E272">
        <v>352</v>
      </c>
      <c r="F272">
        <v>10</v>
      </c>
      <c r="G272">
        <v>664.86</v>
      </c>
      <c r="H272">
        <v>642.62</v>
      </c>
    </row>
    <row r="273" spans="1:8" x14ac:dyDescent="0.3">
      <c r="A273" s="1">
        <v>45346</v>
      </c>
      <c r="B273" t="s">
        <v>9</v>
      </c>
      <c r="C273" t="s">
        <v>14</v>
      </c>
      <c r="D273">
        <v>21309</v>
      </c>
      <c r="E273">
        <v>258</v>
      </c>
      <c r="F273">
        <v>13</v>
      </c>
      <c r="G273">
        <v>528.66</v>
      </c>
      <c r="H273">
        <v>1761.63</v>
      </c>
    </row>
    <row r="274" spans="1:8" x14ac:dyDescent="0.3">
      <c r="A274" s="1">
        <v>45346</v>
      </c>
      <c r="B274" t="s">
        <v>10</v>
      </c>
      <c r="C274" t="s">
        <v>15</v>
      </c>
      <c r="D274">
        <v>5956</v>
      </c>
      <c r="E274">
        <v>412</v>
      </c>
      <c r="F274">
        <v>41</v>
      </c>
      <c r="G274">
        <v>1147.5999999999999</v>
      </c>
      <c r="H274">
        <v>5102.43</v>
      </c>
    </row>
    <row r="275" spans="1:8" x14ac:dyDescent="0.3">
      <c r="A275" s="1">
        <v>45346</v>
      </c>
      <c r="B275" t="s">
        <v>11</v>
      </c>
      <c r="C275" t="s">
        <v>16</v>
      </c>
      <c r="D275">
        <v>38723</v>
      </c>
      <c r="E275">
        <v>495</v>
      </c>
      <c r="F275">
        <v>65</v>
      </c>
      <c r="G275">
        <v>1169.4000000000001</v>
      </c>
      <c r="H275">
        <v>5736.1</v>
      </c>
    </row>
    <row r="276" spans="1:8" x14ac:dyDescent="0.3">
      <c r="A276" s="1">
        <v>45346</v>
      </c>
      <c r="B276" t="s">
        <v>12</v>
      </c>
      <c r="C276" t="s">
        <v>17</v>
      </c>
      <c r="D276">
        <v>36860</v>
      </c>
      <c r="E276">
        <v>1389</v>
      </c>
      <c r="F276">
        <v>137</v>
      </c>
      <c r="G276">
        <v>3352.84</v>
      </c>
      <c r="H276">
        <v>17429.849999999999</v>
      </c>
    </row>
    <row r="277" spans="1:8" x14ac:dyDescent="0.3">
      <c r="A277" s="1">
        <v>45347</v>
      </c>
      <c r="B277" t="s">
        <v>8</v>
      </c>
      <c r="C277" t="s">
        <v>13</v>
      </c>
      <c r="D277">
        <v>17201</v>
      </c>
      <c r="E277">
        <v>1366</v>
      </c>
      <c r="F277">
        <v>77</v>
      </c>
      <c r="G277">
        <v>2417.42</v>
      </c>
      <c r="H277">
        <v>6331.19</v>
      </c>
    </row>
    <row r="278" spans="1:8" x14ac:dyDescent="0.3">
      <c r="A278" s="1">
        <v>45347</v>
      </c>
      <c r="B278" t="s">
        <v>9</v>
      </c>
      <c r="C278" t="s">
        <v>14</v>
      </c>
      <c r="D278">
        <v>38297</v>
      </c>
      <c r="E278">
        <v>2076</v>
      </c>
      <c r="F278">
        <v>239</v>
      </c>
      <c r="G278">
        <v>2398.2600000000002</v>
      </c>
      <c r="H278">
        <v>28379.040000000001</v>
      </c>
    </row>
    <row r="279" spans="1:8" x14ac:dyDescent="0.3">
      <c r="A279" s="1">
        <v>45347</v>
      </c>
      <c r="B279" t="s">
        <v>10</v>
      </c>
      <c r="C279" t="s">
        <v>15</v>
      </c>
      <c r="D279">
        <v>28279</v>
      </c>
      <c r="E279">
        <v>1474</v>
      </c>
      <c r="F279">
        <v>150</v>
      </c>
      <c r="G279">
        <v>2663.06</v>
      </c>
      <c r="H279">
        <v>14458.15</v>
      </c>
    </row>
    <row r="280" spans="1:8" x14ac:dyDescent="0.3">
      <c r="A280" s="1">
        <v>45347</v>
      </c>
      <c r="B280" t="s">
        <v>11</v>
      </c>
      <c r="C280" t="s">
        <v>16</v>
      </c>
      <c r="D280">
        <v>31916</v>
      </c>
      <c r="E280">
        <v>2227</v>
      </c>
      <c r="F280">
        <v>187</v>
      </c>
      <c r="G280">
        <v>3268.18</v>
      </c>
      <c r="H280">
        <v>25391.33</v>
      </c>
    </row>
    <row r="281" spans="1:8" x14ac:dyDescent="0.3">
      <c r="A281" s="1">
        <v>45347</v>
      </c>
      <c r="B281" t="s">
        <v>12</v>
      </c>
      <c r="C281" t="s">
        <v>17</v>
      </c>
      <c r="D281">
        <v>39414</v>
      </c>
      <c r="E281">
        <v>2029</v>
      </c>
      <c r="F281">
        <v>193</v>
      </c>
      <c r="G281">
        <v>5253.24</v>
      </c>
      <c r="H281">
        <v>9742.4</v>
      </c>
    </row>
    <row r="282" spans="1:8" x14ac:dyDescent="0.3">
      <c r="A282" s="1">
        <v>45348</v>
      </c>
      <c r="B282" t="s">
        <v>8</v>
      </c>
      <c r="C282" t="s">
        <v>13</v>
      </c>
      <c r="D282">
        <v>31616</v>
      </c>
      <c r="E282">
        <v>1199</v>
      </c>
      <c r="F282">
        <v>157</v>
      </c>
      <c r="G282">
        <v>988.43</v>
      </c>
      <c r="H282">
        <v>16441.89</v>
      </c>
    </row>
    <row r="283" spans="1:8" x14ac:dyDescent="0.3">
      <c r="A283" s="1">
        <v>45348</v>
      </c>
      <c r="B283" t="s">
        <v>9</v>
      </c>
      <c r="C283" t="s">
        <v>14</v>
      </c>
      <c r="D283">
        <v>25939</v>
      </c>
      <c r="E283">
        <v>497</v>
      </c>
      <c r="F283">
        <v>72</v>
      </c>
      <c r="G283">
        <v>1006.54</v>
      </c>
      <c r="H283">
        <v>4749.5200000000004</v>
      </c>
    </row>
    <row r="284" spans="1:8" x14ac:dyDescent="0.3">
      <c r="A284" s="1">
        <v>45348</v>
      </c>
      <c r="B284" t="s">
        <v>10</v>
      </c>
      <c r="C284" t="s">
        <v>15</v>
      </c>
      <c r="D284">
        <v>38397</v>
      </c>
      <c r="E284">
        <v>840</v>
      </c>
      <c r="F284">
        <v>73</v>
      </c>
      <c r="G284">
        <v>1436.32</v>
      </c>
      <c r="H284">
        <v>9575.93</v>
      </c>
    </row>
    <row r="285" spans="1:8" x14ac:dyDescent="0.3">
      <c r="A285" s="1">
        <v>45348</v>
      </c>
      <c r="B285" t="s">
        <v>11</v>
      </c>
      <c r="C285" t="s">
        <v>16</v>
      </c>
      <c r="D285">
        <v>11276</v>
      </c>
      <c r="E285">
        <v>309</v>
      </c>
      <c r="F285">
        <v>30</v>
      </c>
      <c r="G285">
        <v>836.86</v>
      </c>
      <c r="H285">
        <v>1751.24</v>
      </c>
    </row>
    <row r="286" spans="1:8" x14ac:dyDescent="0.3">
      <c r="A286" s="1">
        <v>45348</v>
      </c>
      <c r="B286" t="s">
        <v>12</v>
      </c>
      <c r="C286" t="s">
        <v>17</v>
      </c>
      <c r="D286">
        <v>11099</v>
      </c>
      <c r="E286">
        <v>405</v>
      </c>
      <c r="F286">
        <v>39</v>
      </c>
      <c r="G286">
        <v>714.09</v>
      </c>
      <c r="H286">
        <v>3848.77</v>
      </c>
    </row>
    <row r="287" spans="1:8" x14ac:dyDescent="0.3">
      <c r="A287" s="1">
        <v>45349</v>
      </c>
      <c r="B287" t="s">
        <v>8</v>
      </c>
      <c r="C287" t="s">
        <v>13</v>
      </c>
      <c r="D287">
        <v>31928</v>
      </c>
      <c r="E287">
        <v>2205</v>
      </c>
      <c r="F287">
        <v>275</v>
      </c>
      <c r="G287">
        <v>5248.91</v>
      </c>
      <c r="H287">
        <v>37265.21</v>
      </c>
    </row>
    <row r="288" spans="1:8" x14ac:dyDescent="0.3">
      <c r="A288" s="1">
        <v>45349</v>
      </c>
      <c r="B288" t="s">
        <v>9</v>
      </c>
      <c r="C288" t="s">
        <v>14</v>
      </c>
      <c r="D288">
        <v>5619</v>
      </c>
      <c r="E288">
        <v>268</v>
      </c>
      <c r="F288">
        <v>6</v>
      </c>
      <c r="G288">
        <v>928.37</v>
      </c>
      <c r="H288">
        <v>321.16000000000003</v>
      </c>
    </row>
    <row r="289" spans="1:8" x14ac:dyDescent="0.3">
      <c r="A289" s="1">
        <v>45349</v>
      </c>
      <c r="B289" t="s">
        <v>10</v>
      </c>
      <c r="C289" t="s">
        <v>15</v>
      </c>
      <c r="D289">
        <v>30892</v>
      </c>
      <c r="E289">
        <v>2334</v>
      </c>
      <c r="F289">
        <v>58</v>
      </c>
      <c r="G289">
        <v>2636.71</v>
      </c>
      <c r="H289">
        <v>5205.03</v>
      </c>
    </row>
    <row r="290" spans="1:8" x14ac:dyDescent="0.3">
      <c r="A290" s="1">
        <v>45349</v>
      </c>
      <c r="B290" t="s">
        <v>11</v>
      </c>
      <c r="C290" t="s">
        <v>16</v>
      </c>
      <c r="D290">
        <v>33404</v>
      </c>
      <c r="E290">
        <v>541</v>
      </c>
      <c r="F290">
        <v>18</v>
      </c>
      <c r="G290">
        <v>1286.83</v>
      </c>
      <c r="H290">
        <v>2082.65</v>
      </c>
    </row>
    <row r="291" spans="1:8" x14ac:dyDescent="0.3">
      <c r="A291" s="1">
        <v>45349</v>
      </c>
      <c r="B291" t="s">
        <v>12</v>
      </c>
      <c r="C291" t="s">
        <v>17</v>
      </c>
      <c r="D291">
        <v>6239</v>
      </c>
      <c r="E291">
        <v>361</v>
      </c>
      <c r="F291">
        <v>8</v>
      </c>
      <c r="G291">
        <v>603.76</v>
      </c>
      <c r="H291">
        <v>1176.33</v>
      </c>
    </row>
    <row r="292" spans="1:8" x14ac:dyDescent="0.3">
      <c r="A292" s="1">
        <v>45350</v>
      </c>
      <c r="B292" t="s">
        <v>8</v>
      </c>
      <c r="C292" t="s">
        <v>13</v>
      </c>
      <c r="D292">
        <v>20398</v>
      </c>
      <c r="E292">
        <v>853</v>
      </c>
      <c r="F292">
        <v>74</v>
      </c>
      <c r="G292">
        <v>1808.26</v>
      </c>
      <c r="H292">
        <v>8388.2800000000007</v>
      </c>
    </row>
    <row r="293" spans="1:8" x14ac:dyDescent="0.3">
      <c r="A293" s="1">
        <v>45350</v>
      </c>
      <c r="B293" t="s">
        <v>9</v>
      </c>
      <c r="C293" t="s">
        <v>14</v>
      </c>
      <c r="D293">
        <v>17115</v>
      </c>
      <c r="E293">
        <v>321</v>
      </c>
      <c r="F293">
        <v>11</v>
      </c>
      <c r="G293">
        <v>381.21</v>
      </c>
      <c r="H293">
        <v>1577.18</v>
      </c>
    </row>
    <row r="294" spans="1:8" x14ac:dyDescent="0.3">
      <c r="A294" s="1">
        <v>45350</v>
      </c>
      <c r="B294" t="s">
        <v>10</v>
      </c>
      <c r="C294" t="s">
        <v>15</v>
      </c>
      <c r="D294">
        <v>22275</v>
      </c>
      <c r="E294">
        <v>1272</v>
      </c>
      <c r="F294">
        <v>185</v>
      </c>
      <c r="G294">
        <v>1340.09</v>
      </c>
      <c r="H294">
        <v>21087.45</v>
      </c>
    </row>
    <row r="295" spans="1:8" x14ac:dyDescent="0.3">
      <c r="A295" s="1">
        <v>45350</v>
      </c>
      <c r="B295" t="s">
        <v>11</v>
      </c>
      <c r="C295" t="s">
        <v>16</v>
      </c>
      <c r="D295">
        <v>18669</v>
      </c>
      <c r="E295">
        <v>1321</v>
      </c>
      <c r="F295">
        <v>56</v>
      </c>
      <c r="G295">
        <v>3527.19</v>
      </c>
      <c r="H295">
        <v>7402.79</v>
      </c>
    </row>
    <row r="296" spans="1:8" x14ac:dyDescent="0.3">
      <c r="A296" s="1">
        <v>45350</v>
      </c>
      <c r="B296" t="s">
        <v>12</v>
      </c>
      <c r="C296" t="s">
        <v>17</v>
      </c>
      <c r="D296">
        <v>20577</v>
      </c>
      <c r="E296">
        <v>744</v>
      </c>
      <c r="F296">
        <v>16</v>
      </c>
      <c r="G296">
        <v>1085.6400000000001</v>
      </c>
      <c r="H296">
        <v>2102.34</v>
      </c>
    </row>
    <row r="297" spans="1:8" x14ac:dyDescent="0.3">
      <c r="A297" s="1">
        <v>45351</v>
      </c>
      <c r="B297" t="s">
        <v>8</v>
      </c>
      <c r="C297" t="s">
        <v>13</v>
      </c>
      <c r="D297">
        <v>5302</v>
      </c>
      <c r="E297">
        <v>264</v>
      </c>
      <c r="F297">
        <v>6</v>
      </c>
      <c r="G297">
        <v>874.78</v>
      </c>
      <c r="H297">
        <v>695.09</v>
      </c>
    </row>
    <row r="298" spans="1:8" x14ac:dyDescent="0.3">
      <c r="A298" s="1">
        <v>45351</v>
      </c>
      <c r="B298" t="s">
        <v>9</v>
      </c>
      <c r="C298" t="s">
        <v>14</v>
      </c>
      <c r="D298">
        <v>36890</v>
      </c>
      <c r="E298">
        <v>2798</v>
      </c>
      <c r="F298">
        <v>356</v>
      </c>
      <c r="G298">
        <v>7277.1</v>
      </c>
      <c r="H298">
        <v>36842.57</v>
      </c>
    </row>
    <row r="299" spans="1:8" x14ac:dyDescent="0.3">
      <c r="A299" s="1">
        <v>45351</v>
      </c>
      <c r="B299" t="s">
        <v>10</v>
      </c>
      <c r="C299" t="s">
        <v>15</v>
      </c>
      <c r="D299">
        <v>13125</v>
      </c>
      <c r="E299">
        <v>735</v>
      </c>
      <c r="F299">
        <v>110</v>
      </c>
      <c r="G299">
        <v>683.68</v>
      </c>
      <c r="H299">
        <v>16223.81</v>
      </c>
    </row>
    <row r="300" spans="1:8" x14ac:dyDescent="0.3">
      <c r="A300" s="1">
        <v>45351</v>
      </c>
      <c r="B300" t="s">
        <v>11</v>
      </c>
      <c r="C300" t="s">
        <v>16</v>
      </c>
      <c r="D300">
        <v>12848</v>
      </c>
      <c r="E300">
        <v>1021</v>
      </c>
      <c r="F300">
        <v>120</v>
      </c>
      <c r="G300">
        <v>1066.23</v>
      </c>
      <c r="H300">
        <v>8610.65</v>
      </c>
    </row>
    <row r="301" spans="1:8" x14ac:dyDescent="0.3">
      <c r="A301" s="1">
        <v>45351</v>
      </c>
      <c r="B301" t="s">
        <v>12</v>
      </c>
      <c r="C301" t="s">
        <v>17</v>
      </c>
      <c r="D301">
        <v>30923</v>
      </c>
      <c r="E301">
        <v>1717</v>
      </c>
      <c r="F301">
        <v>205</v>
      </c>
      <c r="G301">
        <v>5664.94</v>
      </c>
      <c r="H301">
        <v>18080.79</v>
      </c>
    </row>
    <row r="302" spans="1:8" x14ac:dyDescent="0.3">
      <c r="A302" s="1">
        <v>45352</v>
      </c>
      <c r="B302" t="s">
        <v>8</v>
      </c>
      <c r="C302" t="s">
        <v>13</v>
      </c>
      <c r="D302">
        <v>12761</v>
      </c>
      <c r="E302">
        <v>911</v>
      </c>
      <c r="F302">
        <v>55</v>
      </c>
      <c r="G302">
        <v>2866.03</v>
      </c>
      <c r="H302">
        <v>4472.82</v>
      </c>
    </row>
    <row r="303" spans="1:8" x14ac:dyDescent="0.3">
      <c r="A303" s="1">
        <v>45352</v>
      </c>
      <c r="B303" t="s">
        <v>9</v>
      </c>
      <c r="C303" t="s">
        <v>14</v>
      </c>
      <c r="D303">
        <v>31200</v>
      </c>
      <c r="E303">
        <v>1029</v>
      </c>
      <c r="F303">
        <v>104</v>
      </c>
      <c r="G303">
        <v>2517.5</v>
      </c>
      <c r="H303">
        <v>10605.74</v>
      </c>
    </row>
    <row r="304" spans="1:8" x14ac:dyDescent="0.3">
      <c r="A304" s="1">
        <v>45352</v>
      </c>
      <c r="B304" t="s">
        <v>10</v>
      </c>
      <c r="C304" t="s">
        <v>15</v>
      </c>
      <c r="D304">
        <v>17178</v>
      </c>
      <c r="E304">
        <v>639</v>
      </c>
      <c r="F304">
        <v>50</v>
      </c>
      <c r="G304">
        <v>921.03</v>
      </c>
      <c r="H304">
        <v>4052.88</v>
      </c>
    </row>
    <row r="305" spans="1:8" x14ac:dyDescent="0.3">
      <c r="A305" s="1">
        <v>45352</v>
      </c>
      <c r="B305" t="s">
        <v>11</v>
      </c>
      <c r="C305" t="s">
        <v>16</v>
      </c>
      <c r="D305">
        <v>27443</v>
      </c>
      <c r="E305">
        <v>302</v>
      </c>
      <c r="F305">
        <v>29</v>
      </c>
      <c r="G305">
        <v>378.95</v>
      </c>
      <c r="H305">
        <v>3209.82</v>
      </c>
    </row>
    <row r="306" spans="1:8" x14ac:dyDescent="0.3">
      <c r="A306" s="1">
        <v>45352</v>
      </c>
      <c r="B306" t="s">
        <v>12</v>
      </c>
      <c r="C306" t="s">
        <v>17</v>
      </c>
      <c r="D306">
        <v>30537</v>
      </c>
      <c r="E306">
        <v>1296</v>
      </c>
      <c r="F306">
        <v>89</v>
      </c>
      <c r="G306">
        <v>4057.78</v>
      </c>
      <c r="H306">
        <v>8641.81</v>
      </c>
    </row>
    <row r="307" spans="1:8" x14ac:dyDescent="0.3">
      <c r="A307" s="1">
        <v>45353</v>
      </c>
      <c r="B307" t="s">
        <v>8</v>
      </c>
      <c r="C307" t="s">
        <v>13</v>
      </c>
      <c r="D307">
        <v>31523</v>
      </c>
      <c r="E307">
        <v>371</v>
      </c>
      <c r="F307">
        <v>23</v>
      </c>
      <c r="G307">
        <v>677.64</v>
      </c>
      <c r="H307">
        <v>1929.02</v>
      </c>
    </row>
    <row r="308" spans="1:8" x14ac:dyDescent="0.3">
      <c r="A308" s="1">
        <v>45353</v>
      </c>
      <c r="B308" t="s">
        <v>9</v>
      </c>
      <c r="C308" t="s">
        <v>14</v>
      </c>
      <c r="D308">
        <v>16556</v>
      </c>
      <c r="E308">
        <v>450</v>
      </c>
      <c r="F308">
        <v>36</v>
      </c>
      <c r="G308">
        <v>839.15</v>
      </c>
      <c r="H308">
        <v>3615.68</v>
      </c>
    </row>
    <row r="309" spans="1:8" x14ac:dyDescent="0.3">
      <c r="A309" s="1">
        <v>45353</v>
      </c>
      <c r="B309" t="s">
        <v>10</v>
      </c>
      <c r="C309" t="s">
        <v>15</v>
      </c>
      <c r="D309">
        <v>21173</v>
      </c>
      <c r="E309">
        <v>1276</v>
      </c>
      <c r="F309">
        <v>184</v>
      </c>
      <c r="G309">
        <v>1083.6099999999999</v>
      </c>
      <c r="H309">
        <v>11322.55</v>
      </c>
    </row>
    <row r="310" spans="1:8" x14ac:dyDescent="0.3">
      <c r="A310" s="1">
        <v>45353</v>
      </c>
      <c r="B310" t="s">
        <v>11</v>
      </c>
      <c r="C310" t="s">
        <v>16</v>
      </c>
      <c r="D310">
        <v>9431</v>
      </c>
      <c r="E310">
        <v>521</v>
      </c>
      <c r="F310">
        <v>71</v>
      </c>
      <c r="G310">
        <v>759.31</v>
      </c>
      <c r="H310">
        <v>10080.14</v>
      </c>
    </row>
    <row r="311" spans="1:8" x14ac:dyDescent="0.3">
      <c r="A311" s="1">
        <v>45353</v>
      </c>
      <c r="B311" t="s">
        <v>12</v>
      </c>
      <c r="C311" t="s">
        <v>17</v>
      </c>
      <c r="D311">
        <v>18076</v>
      </c>
      <c r="E311">
        <v>787</v>
      </c>
      <c r="F311">
        <v>35</v>
      </c>
      <c r="G311">
        <v>983.04</v>
      </c>
      <c r="H311">
        <v>3776.8</v>
      </c>
    </row>
    <row r="312" spans="1:8" x14ac:dyDescent="0.3">
      <c r="A312" s="1">
        <v>45354</v>
      </c>
      <c r="B312" t="s">
        <v>8</v>
      </c>
      <c r="C312" t="s">
        <v>13</v>
      </c>
      <c r="D312">
        <v>33211</v>
      </c>
      <c r="E312">
        <v>1889</v>
      </c>
      <c r="F312">
        <v>266</v>
      </c>
      <c r="G312">
        <v>4225.8900000000003</v>
      </c>
      <c r="H312">
        <v>27638.07</v>
      </c>
    </row>
    <row r="313" spans="1:8" x14ac:dyDescent="0.3">
      <c r="A313" s="1">
        <v>45354</v>
      </c>
      <c r="B313" t="s">
        <v>9</v>
      </c>
      <c r="C313" t="s">
        <v>14</v>
      </c>
      <c r="D313">
        <v>17289</v>
      </c>
      <c r="E313">
        <v>502</v>
      </c>
      <c r="F313">
        <v>37</v>
      </c>
      <c r="G313">
        <v>566.79999999999995</v>
      </c>
      <c r="H313">
        <v>2217.2800000000002</v>
      </c>
    </row>
    <row r="314" spans="1:8" x14ac:dyDescent="0.3">
      <c r="A314" s="1">
        <v>45354</v>
      </c>
      <c r="B314" t="s">
        <v>10</v>
      </c>
      <c r="C314" t="s">
        <v>15</v>
      </c>
      <c r="D314">
        <v>34734</v>
      </c>
      <c r="E314">
        <v>1624</v>
      </c>
      <c r="F314">
        <v>182</v>
      </c>
      <c r="G314">
        <v>1767.83</v>
      </c>
      <c r="H314">
        <v>18637.59</v>
      </c>
    </row>
    <row r="315" spans="1:8" x14ac:dyDescent="0.3">
      <c r="A315" s="1">
        <v>45354</v>
      </c>
      <c r="B315" t="s">
        <v>11</v>
      </c>
      <c r="C315" t="s">
        <v>16</v>
      </c>
      <c r="D315">
        <v>11441</v>
      </c>
      <c r="E315">
        <v>849</v>
      </c>
      <c r="F315">
        <v>63</v>
      </c>
      <c r="G315">
        <v>878.72</v>
      </c>
      <c r="H315">
        <v>8173.14</v>
      </c>
    </row>
    <row r="316" spans="1:8" x14ac:dyDescent="0.3">
      <c r="A316" s="1">
        <v>45354</v>
      </c>
      <c r="B316" t="s">
        <v>12</v>
      </c>
      <c r="C316" t="s">
        <v>17</v>
      </c>
      <c r="D316">
        <v>26675</v>
      </c>
      <c r="E316">
        <v>347</v>
      </c>
      <c r="F316">
        <v>35</v>
      </c>
      <c r="G316">
        <v>1168.97</v>
      </c>
      <c r="H316">
        <v>3716.21</v>
      </c>
    </row>
    <row r="317" spans="1:8" x14ac:dyDescent="0.3">
      <c r="A317" s="1">
        <v>45355</v>
      </c>
      <c r="B317" t="s">
        <v>8</v>
      </c>
      <c r="C317" t="s">
        <v>13</v>
      </c>
      <c r="D317">
        <v>28669</v>
      </c>
      <c r="E317">
        <v>1320</v>
      </c>
      <c r="F317">
        <v>128</v>
      </c>
      <c r="G317">
        <v>3884.9</v>
      </c>
      <c r="H317">
        <v>14224.21</v>
      </c>
    </row>
    <row r="318" spans="1:8" x14ac:dyDescent="0.3">
      <c r="A318" s="1">
        <v>45355</v>
      </c>
      <c r="B318" t="s">
        <v>9</v>
      </c>
      <c r="C318" t="s">
        <v>14</v>
      </c>
      <c r="D318">
        <v>15617</v>
      </c>
      <c r="E318">
        <v>550</v>
      </c>
      <c r="F318">
        <v>75</v>
      </c>
      <c r="G318">
        <v>1583.37</v>
      </c>
      <c r="H318">
        <v>7592.26</v>
      </c>
    </row>
    <row r="319" spans="1:8" x14ac:dyDescent="0.3">
      <c r="A319" s="1">
        <v>45355</v>
      </c>
      <c r="B319" t="s">
        <v>10</v>
      </c>
      <c r="C319" t="s">
        <v>15</v>
      </c>
      <c r="D319">
        <v>39084</v>
      </c>
      <c r="E319">
        <v>1217</v>
      </c>
      <c r="F319">
        <v>140</v>
      </c>
      <c r="G319">
        <v>3770.47</v>
      </c>
      <c r="H319">
        <v>15939.94</v>
      </c>
    </row>
    <row r="320" spans="1:8" x14ac:dyDescent="0.3">
      <c r="A320" s="1">
        <v>45355</v>
      </c>
      <c r="B320" t="s">
        <v>11</v>
      </c>
      <c r="C320" t="s">
        <v>16</v>
      </c>
      <c r="D320">
        <v>28384</v>
      </c>
      <c r="E320">
        <v>473</v>
      </c>
      <c r="F320">
        <v>47</v>
      </c>
      <c r="G320">
        <v>955.35</v>
      </c>
      <c r="H320">
        <v>4912.7700000000004</v>
      </c>
    </row>
    <row r="321" spans="1:8" x14ac:dyDescent="0.3">
      <c r="A321" s="1">
        <v>45355</v>
      </c>
      <c r="B321" t="s">
        <v>12</v>
      </c>
      <c r="C321" t="s">
        <v>17</v>
      </c>
      <c r="D321">
        <v>31160</v>
      </c>
      <c r="E321">
        <v>1918</v>
      </c>
      <c r="F321">
        <v>253</v>
      </c>
      <c r="G321">
        <v>2656.81</v>
      </c>
      <c r="H321">
        <v>12783.74</v>
      </c>
    </row>
    <row r="322" spans="1:8" x14ac:dyDescent="0.3">
      <c r="A322" s="1">
        <v>45356</v>
      </c>
      <c r="B322" t="s">
        <v>8</v>
      </c>
      <c r="C322" t="s">
        <v>13</v>
      </c>
      <c r="D322">
        <v>16695</v>
      </c>
      <c r="E322">
        <v>531</v>
      </c>
      <c r="F322">
        <v>26</v>
      </c>
      <c r="G322">
        <v>720.41</v>
      </c>
      <c r="H322">
        <v>2864.57</v>
      </c>
    </row>
    <row r="323" spans="1:8" x14ac:dyDescent="0.3">
      <c r="A323" s="1">
        <v>45356</v>
      </c>
      <c r="B323" t="s">
        <v>9</v>
      </c>
      <c r="C323" t="s">
        <v>14</v>
      </c>
      <c r="D323">
        <v>14160</v>
      </c>
      <c r="E323">
        <v>529</v>
      </c>
      <c r="F323">
        <v>51</v>
      </c>
      <c r="G323">
        <v>1132.73</v>
      </c>
      <c r="H323">
        <v>7581.48</v>
      </c>
    </row>
    <row r="324" spans="1:8" x14ac:dyDescent="0.3">
      <c r="A324" s="1">
        <v>45356</v>
      </c>
      <c r="B324" t="s">
        <v>10</v>
      </c>
      <c r="C324" t="s">
        <v>15</v>
      </c>
      <c r="D324">
        <v>9358</v>
      </c>
      <c r="E324">
        <v>548</v>
      </c>
      <c r="F324">
        <v>39</v>
      </c>
      <c r="G324">
        <v>1071.96</v>
      </c>
      <c r="H324">
        <v>4638.49</v>
      </c>
    </row>
    <row r="325" spans="1:8" x14ac:dyDescent="0.3">
      <c r="A325" s="1">
        <v>45356</v>
      </c>
      <c r="B325" t="s">
        <v>11</v>
      </c>
      <c r="C325" t="s">
        <v>16</v>
      </c>
      <c r="D325">
        <v>37496</v>
      </c>
      <c r="E325">
        <v>416</v>
      </c>
      <c r="F325">
        <v>26</v>
      </c>
      <c r="G325">
        <v>1252.3699999999999</v>
      </c>
      <c r="H325">
        <v>2765.21</v>
      </c>
    </row>
    <row r="326" spans="1:8" x14ac:dyDescent="0.3">
      <c r="A326" s="1">
        <v>45356</v>
      </c>
      <c r="B326" t="s">
        <v>12</v>
      </c>
      <c r="C326" t="s">
        <v>17</v>
      </c>
      <c r="D326">
        <v>38893</v>
      </c>
      <c r="E326">
        <v>1963</v>
      </c>
      <c r="F326">
        <v>109</v>
      </c>
      <c r="G326">
        <v>1991.33</v>
      </c>
      <c r="H326">
        <v>5387.04</v>
      </c>
    </row>
    <row r="327" spans="1:8" x14ac:dyDescent="0.3">
      <c r="A327" s="1">
        <v>45357</v>
      </c>
      <c r="B327" t="s">
        <v>8</v>
      </c>
      <c r="C327" t="s">
        <v>13</v>
      </c>
      <c r="D327">
        <v>12843</v>
      </c>
      <c r="E327">
        <v>300</v>
      </c>
      <c r="F327">
        <v>18</v>
      </c>
      <c r="G327">
        <v>423.59</v>
      </c>
      <c r="H327">
        <v>1422.89</v>
      </c>
    </row>
    <row r="328" spans="1:8" x14ac:dyDescent="0.3">
      <c r="A328" s="1">
        <v>45357</v>
      </c>
      <c r="B328" t="s">
        <v>9</v>
      </c>
      <c r="C328" t="s">
        <v>14</v>
      </c>
      <c r="D328">
        <v>11704</v>
      </c>
      <c r="E328">
        <v>798</v>
      </c>
      <c r="F328">
        <v>85</v>
      </c>
      <c r="G328">
        <v>789.07</v>
      </c>
      <c r="H328">
        <v>9385.57</v>
      </c>
    </row>
    <row r="329" spans="1:8" x14ac:dyDescent="0.3">
      <c r="A329" s="1">
        <v>45357</v>
      </c>
      <c r="B329" t="s">
        <v>10</v>
      </c>
      <c r="C329" t="s">
        <v>15</v>
      </c>
      <c r="D329">
        <v>39503</v>
      </c>
      <c r="E329">
        <v>2194</v>
      </c>
      <c r="F329">
        <v>195</v>
      </c>
      <c r="G329">
        <v>3676.49</v>
      </c>
      <c r="H329">
        <v>14942.89</v>
      </c>
    </row>
    <row r="330" spans="1:8" x14ac:dyDescent="0.3">
      <c r="A330" s="1">
        <v>45357</v>
      </c>
      <c r="B330" t="s">
        <v>11</v>
      </c>
      <c r="C330" t="s">
        <v>16</v>
      </c>
      <c r="D330">
        <v>37581</v>
      </c>
      <c r="E330">
        <v>513</v>
      </c>
      <c r="F330">
        <v>35</v>
      </c>
      <c r="G330">
        <v>913.11</v>
      </c>
      <c r="H330">
        <v>5232.6000000000004</v>
      </c>
    </row>
    <row r="331" spans="1:8" x14ac:dyDescent="0.3">
      <c r="A331" s="1">
        <v>45357</v>
      </c>
      <c r="B331" t="s">
        <v>12</v>
      </c>
      <c r="C331" t="s">
        <v>17</v>
      </c>
      <c r="D331">
        <v>14686</v>
      </c>
      <c r="E331">
        <v>625</v>
      </c>
      <c r="F331">
        <v>17</v>
      </c>
      <c r="G331">
        <v>1448.88</v>
      </c>
      <c r="H331">
        <v>2470.7600000000002</v>
      </c>
    </row>
    <row r="332" spans="1:8" x14ac:dyDescent="0.3">
      <c r="A332" s="1">
        <v>45358</v>
      </c>
      <c r="B332" t="s">
        <v>8</v>
      </c>
      <c r="C332" t="s">
        <v>13</v>
      </c>
      <c r="D332">
        <v>15526</v>
      </c>
      <c r="E332">
        <v>975</v>
      </c>
      <c r="F332">
        <v>41</v>
      </c>
      <c r="G332">
        <v>1857.95</v>
      </c>
      <c r="H332">
        <v>3546.33</v>
      </c>
    </row>
    <row r="333" spans="1:8" x14ac:dyDescent="0.3">
      <c r="A333" s="1">
        <v>45358</v>
      </c>
      <c r="B333" t="s">
        <v>9</v>
      </c>
      <c r="C333" t="s">
        <v>14</v>
      </c>
      <c r="D333">
        <v>8083</v>
      </c>
      <c r="E333">
        <v>277</v>
      </c>
      <c r="F333">
        <v>29</v>
      </c>
      <c r="G333">
        <v>816.52</v>
      </c>
      <c r="H333">
        <v>4117.7</v>
      </c>
    </row>
    <row r="334" spans="1:8" x14ac:dyDescent="0.3">
      <c r="A334" s="1">
        <v>45358</v>
      </c>
      <c r="B334" t="s">
        <v>10</v>
      </c>
      <c r="C334" t="s">
        <v>15</v>
      </c>
      <c r="D334">
        <v>38004</v>
      </c>
      <c r="E334">
        <v>698</v>
      </c>
      <c r="F334">
        <v>102</v>
      </c>
      <c r="G334">
        <v>596.14</v>
      </c>
      <c r="H334">
        <v>12351.16</v>
      </c>
    </row>
    <row r="335" spans="1:8" x14ac:dyDescent="0.3">
      <c r="A335" s="1">
        <v>45358</v>
      </c>
      <c r="B335" t="s">
        <v>11</v>
      </c>
      <c r="C335" t="s">
        <v>16</v>
      </c>
      <c r="D335">
        <v>23752</v>
      </c>
      <c r="E335">
        <v>1637</v>
      </c>
      <c r="F335">
        <v>143</v>
      </c>
      <c r="G335">
        <v>4065.79</v>
      </c>
      <c r="H335">
        <v>7121.93</v>
      </c>
    </row>
    <row r="336" spans="1:8" x14ac:dyDescent="0.3">
      <c r="A336" s="1">
        <v>45358</v>
      </c>
      <c r="B336" t="s">
        <v>12</v>
      </c>
      <c r="C336" t="s">
        <v>17</v>
      </c>
      <c r="D336">
        <v>31342</v>
      </c>
      <c r="E336">
        <v>2210</v>
      </c>
      <c r="F336">
        <v>219</v>
      </c>
      <c r="G336">
        <v>4792.3</v>
      </c>
      <c r="H336">
        <v>12597.63</v>
      </c>
    </row>
    <row r="337" spans="1:8" x14ac:dyDescent="0.3">
      <c r="A337" s="1">
        <v>45359</v>
      </c>
      <c r="B337" t="s">
        <v>8</v>
      </c>
      <c r="C337" t="s">
        <v>13</v>
      </c>
      <c r="D337">
        <v>21163</v>
      </c>
      <c r="E337">
        <v>660</v>
      </c>
      <c r="F337">
        <v>35</v>
      </c>
      <c r="G337">
        <v>1169.76</v>
      </c>
      <c r="H337">
        <v>1737.42</v>
      </c>
    </row>
    <row r="338" spans="1:8" x14ac:dyDescent="0.3">
      <c r="A338" s="1">
        <v>45359</v>
      </c>
      <c r="B338" t="s">
        <v>9</v>
      </c>
      <c r="C338" t="s">
        <v>14</v>
      </c>
      <c r="D338">
        <v>35682</v>
      </c>
      <c r="E338">
        <v>953</v>
      </c>
      <c r="F338">
        <v>82</v>
      </c>
      <c r="G338">
        <v>2885.94</v>
      </c>
      <c r="H338">
        <v>5802.93</v>
      </c>
    </row>
    <row r="339" spans="1:8" x14ac:dyDescent="0.3">
      <c r="A339" s="1">
        <v>45359</v>
      </c>
      <c r="B339" t="s">
        <v>10</v>
      </c>
      <c r="C339" t="s">
        <v>15</v>
      </c>
      <c r="D339">
        <v>23073</v>
      </c>
      <c r="E339">
        <v>1200</v>
      </c>
      <c r="F339">
        <v>104</v>
      </c>
      <c r="G339">
        <v>3938.83</v>
      </c>
      <c r="H339">
        <v>9845.26</v>
      </c>
    </row>
    <row r="340" spans="1:8" x14ac:dyDescent="0.3">
      <c r="A340" s="1">
        <v>45359</v>
      </c>
      <c r="B340" t="s">
        <v>11</v>
      </c>
      <c r="C340" t="s">
        <v>16</v>
      </c>
      <c r="D340">
        <v>9437</v>
      </c>
      <c r="E340">
        <v>468</v>
      </c>
      <c r="F340">
        <v>33</v>
      </c>
      <c r="G340">
        <v>1007.66</v>
      </c>
      <c r="H340">
        <v>2761.76</v>
      </c>
    </row>
    <row r="341" spans="1:8" x14ac:dyDescent="0.3">
      <c r="A341" s="1">
        <v>45359</v>
      </c>
      <c r="B341" t="s">
        <v>12</v>
      </c>
      <c r="C341" t="s">
        <v>17</v>
      </c>
      <c r="D341">
        <v>30169</v>
      </c>
      <c r="E341">
        <v>1627</v>
      </c>
      <c r="F341">
        <v>175</v>
      </c>
      <c r="G341">
        <v>3640.74</v>
      </c>
      <c r="H341">
        <v>20887.37</v>
      </c>
    </row>
    <row r="342" spans="1:8" x14ac:dyDescent="0.3">
      <c r="A342" s="1">
        <v>45360</v>
      </c>
      <c r="B342" t="s">
        <v>8</v>
      </c>
      <c r="C342" t="s">
        <v>13</v>
      </c>
      <c r="D342">
        <v>33495</v>
      </c>
      <c r="E342">
        <v>831</v>
      </c>
      <c r="F342">
        <v>105</v>
      </c>
      <c r="G342">
        <v>1388.46</v>
      </c>
      <c r="H342">
        <v>4464.42</v>
      </c>
    </row>
    <row r="343" spans="1:8" x14ac:dyDescent="0.3">
      <c r="A343" s="1">
        <v>45360</v>
      </c>
      <c r="B343" t="s">
        <v>9</v>
      </c>
      <c r="C343" t="s">
        <v>14</v>
      </c>
      <c r="D343">
        <v>25609</v>
      </c>
      <c r="E343">
        <v>656</v>
      </c>
      <c r="F343">
        <v>94</v>
      </c>
      <c r="G343">
        <v>1539.77</v>
      </c>
      <c r="H343">
        <v>13404.44</v>
      </c>
    </row>
    <row r="344" spans="1:8" x14ac:dyDescent="0.3">
      <c r="A344" s="1">
        <v>45360</v>
      </c>
      <c r="B344" t="s">
        <v>10</v>
      </c>
      <c r="C344" t="s">
        <v>15</v>
      </c>
      <c r="D344">
        <v>13984</v>
      </c>
      <c r="E344">
        <v>609</v>
      </c>
      <c r="F344">
        <v>37</v>
      </c>
      <c r="G344">
        <v>1484.26</v>
      </c>
      <c r="H344">
        <v>2046.54</v>
      </c>
    </row>
    <row r="345" spans="1:8" x14ac:dyDescent="0.3">
      <c r="A345" s="1">
        <v>45360</v>
      </c>
      <c r="B345" t="s">
        <v>11</v>
      </c>
      <c r="C345" t="s">
        <v>16</v>
      </c>
      <c r="D345">
        <v>36055</v>
      </c>
      <c r="E345">
        <v>2290</v>
      </c>
      <c r="F345">
        <v>97</v>
      </c>
      <c r="G345">
        <v>4939.37</v>
      </c>
      <c r="H345">
        <v>8133.73</v>
      </c>
    </row>
    <row r="346" spans="1:8" x14ac:dyDescent="0.3">
      <c r="A346" s="1">
        <v>45360</v>
      </c>
      <c r="B346" t="s">
        <v>12</v>
      </c>
      <c r="C346" t="s">
        <v>17</v>
      </c>
      <c r="D346">
        <v>10772</v>
      </c>
      <c r="E346">
        <v>384</v>
      </c>
      <c r="F346">
        <v>11</v>
      </c>
      <c r="G346">
        <v>333.96</v>
      </c>
      <c r="H346">
        <v>603.54999999999995</v>
      </c>
    </row>
    <row r="347" spans="1:8" x14ac:dyDescent="0.3">
      <c r="A347" s="1">
        <v>45361</v>
      </c>
      <c r="B347" t="s">
        <v>8</v>
      </c>
      <c r="C347" t="s">
        <v>13</v>
      </c>
      <c r="D347">
        <v>28563</v>
      </c>
      <c r="E347">
        <v>2216</v>
      </c>
      <c r="F347">
        <v>168</v>
      </c>
      <c r="G347">
        <v>3638.46</v>
      </c>
      <c r="H347">
        <v>16073.5</v>
      </c>
    </row>
    <row r="348" spans="1:8" x14ac:dyDescent="0.3">
      <c r="A348" s="1">
        <v>45361</v>
      </c>
      <c r="B348" t="s">
        <v>9</v>
      </c>
      <c r="C348" t="s">
        <v>14</v>
      </c>
      <c r="D348">
        <v>17677</v>
      </c>
      <c r="E348">
        <v>177</v>
      </c>
      <c r="F348">
        <v>3</v>
      </c>
      <c r="G348">
        <v>429.56</v>
      </c>
      <c r="H348">
        <v>240.38</v>
      </c>
    </row>
    <row r="349" spans="1:8" x14ac:dyDescent="0.3">
      <c r="A349" s="1">
        <v>45361</v>
      </c>
      <c r="B349" t="s">
        <v>10</v>
      </c>
      <c r="C349" t="s">
        <v>15</v>
      </c>
      <c r="D349">
        <v>11430</v>
      </c>
      <c r="E349">
        <v>163</v>
      </c>
      <c r="F349">
        <v>19</v>
      </c>
      <c r="G349">
        <v>332.76</v>
      </c>
      <c r="H349">
        <v>881.56</v>
      </c>
    </row>
    <row r="350" spans="1:8" x14ac:dyDescent="0.3">
      <c r="A350" s="1">
        <v>45361</v>
      </c>
      <c r="B350" t="s">
        <v>11</v>
      </c>
      <c r="C350" t="s">
        <v>16</v>
      </c>
      <c r="D350">
        <v>31526</v>
      </c>
      <c r="E350">
        <v>1849</v>
      </c>
      <c r="F350">
        <v>273</v>
      </c>
      <c r="G350">
        <v>2673.26</v>
      </c>
      <c r="H350">
        <v>15191.75</v>
      </c>
    </row>
    <row r="351" spans="1:8" x14ac:dyDescent="0.3">
      <c r="A351" s="1">
        <v>45361</v>
      </c>
      <c r="B351" t="s">
        <v>12</v>
      </c>
      <c r="C351" t="s">
        <v>17</v>
      </c>
      <c r="D351">
        <v>10448</v>
      </c>
      <c r="E351">
        <v>676</v>
      </c>
      <c r="F351">
        <v>36</v>
      </c>
      <c r="G351">
        <v>865.26</v>
      </c>
      <c r="H351">
        <v>4178.8100000000004</v>
      </c>
    </row>
    <row r="352" spans="1:8" x14ac:dyDescent="0.3">
      <c r="A352" s="1">
        <v>45362</v>
      </c>
      <c r="B352" t="s">
        <v>8</v>
      </c>
      <c r="C352" t="s">
        <v>13</v>
      </c>
      <c r="D352">
        <v>37003</v>
      </c>
      <c r="E352">
        <v>2010</v>
      </c>
      <c r="F352">
        <v>100</v>
      </c>
      <c r="G352">
        <v>2870.57</v>
      </c>
      <c r="H352">
        <v>6428.83</v>
      </c>
    </row>
    <row r="353" spans="1:8" x14ac:dyDescent="0.3">
      <c r="A353" s="1">
        <v>45362</v>
      </c>
      <c r="B353" t="s">
        <v>9</v>
      </c>
      <c r="C353" t="s">
        <v>14</v>
      </c>
      <c r="D353">
        <v>8292</v>
      </c>
      <c r="E353">
        <v>445</v>
      </c>
      <c r="F353">
        <v>39</v>
      </c>
      <c r="G353">
        <v>867.94</v>
      </c>
      <c r="H353">
        <v>2120.75</v>
      </c>
    </row>
    <row r="354" spans="1:8" x14ac:dyDescent="0.3">
      <c r="A354" s="1">
        <v>45362</v>
      </c>
      <c r="B354" t="s">
        <v>10</v>
      </c>
      <c r="C354" t="s">
        <v>15</v>
      </c>
      <c r="D354">
        <v>37371</v>
      </c>
      <c r="E354">
        <v>1432</v>
      </c>
      <c r="F354">
        <v>150</v>
      </c>
      <c r="G354">
        <v>2515.2199999999998</v>
      </c>
      <c r="H354">
        <v>14670.83</v>
      </c>
    </row>
    <row r="355" spans="1:8" x14ac:dyDescent="0.3">
      <c r="A355" s="1">
        <v>45362</v>
      </c>
      <c r="B355" t="s">
        <v>11</v>
      </c>
      <c r="C355" t="s">
        <v>16</v>
      </c>
      <c r="D355">
        <v>32605</v>
      </c>
      <c r="E355">
        <v>2214</v>
      </c>
      <c r="F355">
        <v>255</v>
      </c>
      <c r="G355">
        <v>6369.95</v>
      </c>
      <c r="H355">
        <v>10509.43</v>
      </c>
    </row>
    <row r="356" spans="1:8" x14ac:dyDescent="0.3">
      <c r="A356" s="1">
        <v>45362</v>
      </c>
      <c r="B356" t="s">
        <v>12</v>
      </c>
      <c r="C356" t="s">
        <v>17</v>
      </c>
      <c r="D356">
        <v>9481</v>
      </c>
      <c r="E356">
        <v>183</v>
      </c>
      <c r="F356">
        <v>13</v>
      </c>
      <c r="G356">
        <v>536.91</v>
      </c>
      <c r="H356">
        <v>1352.47</v>
      </c>
    </row>
    <row r="357" spans="1:8" x14ac:dyDescent="0.3">
      <c r="A357" s="1">
        <v>45363</v>
      </c>
      <c r="B357" t="s">
        <v>8</v>
      </c>
      <c r="C357" t="s">
        <v>13</v>
      </c>
      <c r="D357">
        <v>29022</v>
      </c>
      <c r="E357">
        <v>568</v>
      </c>
      <c r="F357">
        <v>50</v>
      </c>
      <c r="G357">
        <v>784.43</v>
      </c>
      <c r="H357">
        <v>2066.66</v>
      </c>
    </row>
    <row r="358" spans="1:8" x14ac:dyDescent="0.3">
      <c r="A358" s="1">
        <v>45363</v>
      </c>
      <c r="B358" t="s">
        <v>9</v>
      </c>
      <c r="C358" t="s">
        <v>14</v>
      </c>
      <c r="D358">
        <v>29817</v>
      </c>
      <c r="E358">
        <v>1611</v>
      </c>
      <c r="F358">
        <v>73</v>
      </c>
      <c r="G358">
        <v>1569.86</v>
      </c>
      <c r="H358">
        <v>3262.34</v>
      </c>
    </row>
    <row r="359" spans="1:8" x14ac:dyDescent="0.3">
      <c r="A359" s="1">
        <v>45363</v>
      </c>
      <c r="B359" t="s">
        <v>10</v>
      </c>
      <c r="C359" t="s">
        <v>15</v>
      </c>
      <c r="D359">
        <v>9795</v>
      </c>
      <c r="E359">
        <v>540</v>
      </c>
      <c r="F359">
        <v>45</v>
      </c>
      <c r="G359">
        <v>819.86</v>
      </c>
      <c r="H359">
        <v>2538.73</v>
      </c>
    </row>
    <row r="360" spans="1:8" x14ac:dyDescent="0.3">
      <c r="A360" s="1">
        <v>45363</v>
      </c>
      <c r="B360" t="s">
        <v>11</v>
      </c>
      <c r="C360" t="s">
        <v>16</v>
      </c>
      <c r="D360">
        <v>15749</v>
      </c>
      <c r="E360">
        <v>322</v>
      </c>
      <c r="F360">
        <v>20</v>
      </c>
      <c r="G360">
        <v>898.66</v>
      </c>
      <c r="H360">
        <v>1847.24</v>
      </c>
    </row>
    <row r="361" spans="1:8" x14ac:dyDescent="0.3">
      <c r="A361" s="1">
        <v>45363</v>
      </c>
      <c r="B361" t="s">
        <v>12</v>
      </c>
      <c r="C361" t="s">
        <v>17</v>
      </c>
      <c r="D361">
        <v>19056</v>
      </c>
      <c r="E361">
        <v>1009</v>
      </c>
      <c r="F361">
        <v>132</v>
      </c>
      <c r="G361">
        <v>1876.2</v>
      </c>
      <c r="H361">
        <v>19164.349999999999</v>
      </c>
    </row>
    <row r="362" spans="1:8" x14ac:dyDescent="0.3">
      <c r="A362" s="1">
        <v>45364</v>
      </c>
      <c r="B362" t="s">
        <v>8</v>
      </c>
      <c r="C362" t="s">
        <v>13</v>
      </c>
      <c r="D362">
        <v>35911</v>
      </c>
      <c r="E362">
        <v>2337</v>
      </c>
      <c r="F362">
        <v>142</v>
      </c>
      <c r="G362">
        <v>6211.66</v>
      </c>
      <c r="H362">
        <v>12515.36</v>
      </c>
    </row>
    <row r="363" spans="1:8" x14ac:dyDescent="0.3">
      <c r="A363" s="1">
        <v>45364</v>
      </c>
      <c r="B363" t="s">
        <v>9</v>
      </c>
      <c r="C363" t="s">
        <v>14</v>
      </c>
      <c r="D363">
        <v>11172</v>
      </c>
      <c r="E363">
        <v>330</v>
      </c>
      <c r="F363">
        <v>46</v>
      </c>
      <c r="G363">
        <v>489.48</v>
      </c>
      <c r="H363">
        <v>5792.72</v>
      </c>
    </row>
    <row r="364" spans="1:8" x14ac:dyDescent="0.3">
      <c r="A364" s="1">
        <v>45364</v>
      </c>
      <c r="B364" t="s">
        <v>10</v>
      </c>
      <c r="C364" t="s">
        <v>15</v>
      </c>
      <c r="D364">
        <v>32425</v>
      </c>
      <c r="E364">
        <v>1201</v>
      </c>
      <c r="F364">
        <v>94</v>
      </c>
      <c r="G364">
        <v>1696.78</v>
      </c>
      <c r="H364">
        <v>12956.3</v>
      </c>
    </row>
    <row r="365" spans="1:8" x14ac:dyDescent="0.3">
      <c r="A365" s="1">
        <v>45364</v>
      </c>
      <c r="B365" t="s">
        <v>11</v>
      </c>
      <c r="C365" t="s">
        <v>16</v>
      </c>
      <c r="D365">
        <v>30431</v>
      </c>
      <c r="E365">
        <v>2184</v>
      </c>
      <c r="F365">
        <v>73</v>
      </c>
      <c r="G365">
        <v>7574.86</v>
      </c>
      <c r="H365">
        <v>6479.48</v>
      </c>
    </row>
    <row r="366" spans="1:8" x14ac:dyDescent="0.3">
      <c r="A366" s="1">
        <v>45364</v>
      </c>
      <c r="B366" t="s">
        <v>12</v>
      </c>
      <c r="C366" t="s">
        <v>17</v>
      </c>
      <c r="D366">
        <v>9940</v>
      </c>
      <c r="E366">
        <v>125</v>
      </c>
      <c r="F366">
        <v>14</v>
      </c>
      <c r="G366">
        <v>322.42</v>
      </c>
      <c r="H366">
        <v>1795.28</v>
      </c>
    </row>
    <row r="367" spans="1:8" x14ac:dyDescent="0.3">
      <c r="A367" s="1">
        <v>45365</v>
      </c>
      <c r="B367" t="s">
        <v>8</v>
      </c>
      <c r="C367" t="s">
        <v>13</v>
      </c>
      <c r="D367">
        <v>29034</v>
      </c>
      <c r="E367">
        <v>314</v>
      </c>
      <c r="F367">
        <v>45</v>
      </c>
      <c r="G367">
        <v>876.46</v>
      </c>
      <c r="H367">
        <v>3548.59</v>
      </c>
    </row>
    <row r="368" spans="1:8" x14ac:dyDescent="0.3">
      <c r="A368" s="1">
        <v>45365</v>
      </c>
      <c r="B368" t="s">
        <v>9</v>
      </c>
      <c r="C368" t="s">
        <v>14</v>
      </c>
      <c r="D368">
        <v>14866</v>
      </c>
      <c r="E368">
        <v>1158</v>
      </c>
      <c r="F368">
        <v>165</v>
      </c>
      <c r="G368">
        <v>3377.16</v>
      </c>
      <c r="H368">
        <v>13040.37</v>
      </c>
    </row>
    <row r="369" spans="1:8" x14ac:dyDescent="0.3">
      <c r="A369" s="1">
        <v>45365</v>
      </c>
      <c r="B369" t="s">
        <v>10</v>
      </c>
      <c r="C369" t="s">
        <v>15</v>
      </c>
      <c r="D369">
        <v>32065</v>
      </c>
      <c r="E369">
        <v>541</v>
      </c>
      <c r="F369">
        <v>57</v>
      </c>
      <c r="G369">
        <v>1549.32</v>
      </c>
      <c r="H369">
        <v>3941.84</v>
      </c>
    </row>
    <row r="370" spans="1:8" x14ac:dyDescent="0.3">
      <c r="A370" s="1">
        <v>45365</v>
      </c>
      <c r="B370" t="s">
        <v>11</v>
      </c>
      <c r="C370" t="s">
        <v>16</v>
      </c>
      <c r="D370">
        <v>33270</v>
      </c>
      <c r="E370">
        <v>524</v>
      </c>
      <c r="F370">
        <v>76</v>
      </c>
      <c r="G370">
        <v>837.2</v>
      </c>
      <c r="H370">
        <v>9470.7099999999991</v>
      </c>
    </row>
    <row r="371" spans="1:8" x14ac:dyDescent="0.3">
      <c r="A371" s="1">
        <v>45365</v>
      </c>
      <c r="B371" t="s">
        <v>12</v>
      </c>
      <c r="C371" t="s">
        <v>17</v>
      </c>
      <c r="D371">
        <v>36182</v>
      </c>
      <c r="E371">
        <v>882</v>
      </c>
      <c r="F371">
        <v>31</v>
      </c>
      <c r="G371">
        <v>2170.19</v>
      </c>
      <c r="H371">
        <v>3881.5</v>
      </c>
    </row>
    <row r="372" spans="1:8" x14ac:dyDescent="0.3">
      <c r="A372" s="1">
        <v>45366</v>
      </c>
      <c r="B372" t="s">
        <v>8</v>
      </c>
      <c r="C372" t="s">
        <v>13</v>
      </c>
      <c r="D372">
        <v>17504</v>
      </c>
      <c r="E372">
        <v>824</v>
      </c>
      <c r="F372">
        <v>20</v>
      </c>
      <c r="G372">
        <v>2813.89</v>
      </c>
      <c r="H372">
        <v>2557.17</v>
      </c>
    </row>
    <row r="373" spans="1:8" x14ac:dyDescent="0.3">
      <c r="A373" s="1">
        <v>45366</v>
      </c>
      <c r="B373" t="s">
        <v>9</v>
      </c>
      <c r="C373" t="s">
        <v>14</v>
      </c>
      <c r="D373">
        <v>30227</v>
      </c>
      <c r="E373">
        <v>1305</v>
      </c>
      <c r="F373">
        <v>45</v>
      </c>
      <c r="G373">
        <v>2756.48</v>
      </c>
      <c r="H373">
        <v>6355.47</v>
      </c>
    </row>
    <row r="374" spans="1:8" x14ac:dyDescent="0.3">
      <c r="A374" s="1">
        <v>45366</v>
      </c>
      <c r="B374" t="s">
        <v>10</v>
      </c>
      <c r="C374" t="s">
        <v>15</v>
      </c>
      <c r="D374">
        <v>8983</v>
      </c>
      <c r="E374">
        <v>600</v>
      </c>
      <c r="F374">
        <v>63</v>
      </c>
      <c r="G374">
        <v>687.52</v>
      </c>
      <c r="H374">
        <v>4864.1899999999996</v>
      </c>
    </row>
    <row r="375" spans="1:8" x14ac:dyDescent="0.3">
      <c r="A375" s="1">
        <v>45366</v>
      </c>
      <c r="B375" t="s">
        <v>11</v>
      </c>
      <c r="C375" t="s">
        <v>16</v>
      </c>
      <c r="D375">
        <v>28953</v>
      </c>
      <c r="E375">
        <v>744</v>
      </c>
      <c r="F375">
        <v>50</v>
      </c>
      <c r="G375">
        <v>1463.16</v>
      </c>
      <c r="H375">
        <v>4416.7299999999996</v>
      </c>
    </row>
    <row r="376" spans="1:8" x14ac:dyDescent="0.3">
      <c r="A376" s="1">
        <v>45366</v>
      </c>
      <c r="B376" t="s">
        <v>12</v>
      </c>
      <c r="C376" t="s">
        <v>17</v>
      </c>
      <c r="D376">
        <v>16889</v>
      </c>
      <c r="E376">
        <v>1283</v>
      </c>
      <c r="F376">
        <v>65</v>
      </c>
      <c r="G376">
        <v>1447.29</v>
      </c>
      <c r="H376">
        <v>4011.91</v>
      </c>
    </row>
    <row r="377" spans="1:8" x14ac:dyDescent="0.3">
      <c r="A377" s="1">
        <v>45367</v>
      </c>
      <c r="B377" t="s">
        <v>8</v>
      </c>
      <c r="C377" t="s">
        <v>13</v>
      </c>
      <c r="D377">
        <v>38453</v>
      </c>
      <c r="E377">
        <v>418</v>
      </c>
      <c r="F377">
        <v>62</v>
      </c>
      <c r="G377">
        <v>1092.2</v>
      </c>
      <c r="H377">
        <v>4641.41</v>
      </c>
    </row>
    <row r="378" spans="1:8" x14ac:dyDescent="0.3">
      <c r="A378" s="1">
        <v>45367</v>
      </c>
      <c r="B378" t="s">
        <v>9</v>
      </c>
      <c r="C378" t="s">
        <v>14</v>
      </c>
      <c r="D378">
        <v>15736</v>
      </c>
      <c r="E378">
        <v>442</v>
      </c>
      <c r="F378">
        <v>40</v>
      </c>
      <c r="G378">
        <v>1112.69</v>
      </c>
      <c r="H378">
        <v>2572.6799999999998</v>
      </c>
    </row>
    <row r="379" spans="1:8" x14ac:dyDescent="0.3">
      <c r="A379" s="1">
        <v>45367</v>
      </c>
      <c r="B379" t="s">
        <v>10</v>
      </c>
      <c r="C379" t="s">
        <v>15</v>
      </c>
      <c r="D379">
        <v>20997</v>
      </c>
      <c r="E379">
        <v>1447</v>
      </c>
      <c r="F379">
        <v>165</v>
      </c>
      <c r="G379">
        <v>4191.1000000000004</v>
      </c>
      <c r="H379">
        <v>18509.34</v>
      </c>
    </row>
    <row r="380" spans="1:8" x14ac:dyDescent="0.3">
      <c r="A380" s="1">
        <v>45367</v>
      </c>
      <c r="B380" t="s">
        <v>11</v>
      </c>
      <c r="C380" t="s">
        <v>16</v>
      </c>
      <c r="D380">
        <v>33927</v>
      </c>
      <c r="E380">
        <v>1633</v>
      </c>
      <c r="F380">
        <v>241</v>
      </c>
      <c r="G380">
        <v>5439.44</v>
      </c>
      <c r="H380">
        <v>10784.54</v>
      </c>
    </row>
    <row r="381" spans="1:8" x14ac:dyDescent="0.3">
      <c r="A381" s="1">
        <v>45367</v>
      </c>
      <c r="B381" t="s">
        <v>12</v>
      </c>
      <c r="C381" t="s">
        <v>17</v>
      </c>
      <c r="D381">
        <v>24921</v>
      </c>
      <c r="E381">
        <v>437</v>
      </c>
      <c r="F381">
        <v>47</v>
      </c>
      <c r="G381">
        <v>458</v>
      </c>
      <c r="H381">
        <v>6869.72</v>
      </c>
    </row>
    <row r="382" spans="1:8" x14ac:dyDescent="0.3">
      <c r="A382" s="1">
        <v>45368</v>
      </c>
      <c r="B382" t="s">
        <v>8</v>
      </c>
      <c r="C382" t="s">
        <v>13</v>
      </c>
      <c r="D382">
        <v>31062</v>
      </c>
      <c r="E382">
        <v>1410</v>
      </c>
      <c r="F382">
        <v>182</v>
      </c>
      <c r="G382">
        <v>3917.78</v>
      </c>
      <c r="H382">
        <v>18135.59</v>
      </c>
    </row>
    <row r="383" spans="1:8" x14ac:dyDescent="0.3">
      <c r="A383" s="1">
        <v>45368</v>
      </c>
      <c r="B383" t="s">
        <v>9</v>
      </c>
      <c r="C383" t="s">
        <v>14</v>
      </c>
      <c r="D383">
        <v>6724</v>
      </c>
      <c r="E383">
        <v>417</v>
      </c>
      <c r="F383">
        <v>41</v>
      </c>
      <c r="G383">
        <v>452.87</v>
      </c>
      <c r="H383">
        <v>2323.58</v>
      </c>
    </row>
    <row r="384" spans="1:8" x14ac:dyDescent="0.3">
      <c r="A384" s="1">
        <v>45368</v>
      </c>
      <c r="B384" t="s">
        <v>10</v>
      </c>
      <c r="C384" t="s">
        <v>15</v>
      </c>
      <c r="D384">
        <v>34725</v>
      </c>
      <c r="E384">
        <v>2470</v>
      </c>
      <c r="F384">
        <v>253</v>
      </c>
      <c r="G384">
        <v>7051.92</v>
      </c>
      <c r="H384">
        <v>14574.79</v>
      </c>
    </row>
    <row r="385" spans="1:8" x14ac:dyDescent="0.3">
      <c r="A385" s="1">
        <v>45368</v>
      </c>
      <c r="B385" t="s">
        <v>11</v>
      </c>
      <c r="C385" t="s">
        <v>16</v>
      </c>
      <c r="D385">
        <v>27656</v>
      </c>
      <c r="E385">
        <v>1712</v>
      </c>
      <c r="F385">
        <v>230</v>
      </c>
      <c r="G385">
        <v>2654.17</v>
      </c>
      <c r="H385">
        <v>14107.03</v>
      </c>
    </row>
    <row r="386" spans="1:8" x14ac:dyDescent="0.3">
      <c r="A386" s="1">
        <v>45368</v>
      </c>
      <c r="B386" t="s">
        <v>12</v>
      </c>
      <c r="C386" t="s">
        <v>17</v>
      </c>
      <c r="D386">
        <v>34545</v>
      </c>
      <c r="E386">
        <v>1935</v>
      </c>
      <c r="F386">
        <v>116</v>
      </c>
      <c r="G386">
        <v>5426.4</v>
      </c>
      <c r="H386">
        <v>15040.91</v>
      </c>
    </row>
    <row r="387" spans="1:8" x14ac:dyDescent="0.3">
      <c r="A387" s="1">
        <v>45369</v>
      </c>
      <c r="B387" t="s">
        <v>8</v>
      </c>
      <c r="C387" t="s">
        <v>13</v>
      </c>
      <c r="D387">
        <v>19042</v>
      </c>
      <c r="E387">
        <v>441</v>
      </c>
      <c r="F387">
        <v>29</v>
      </c>
      <c r="G387">
        <v>1286.06</v>
      </c>
      <c r="H387">
        <v>2927.98</v>
      </c>
    </row>
    <row r="388" spans="1:8" x14ac:dyDescent="0.3">
      <c r="A388" s="1">
        <v>45369</v>
      </c>
      <c r="B388" t="s">
        <v>9</v>
      </c>
      <c r="C388" t="s">
        <v>14</v>
      </c>
      <c r="D388">
        <v>24033</v>
      </c>
      <c r="E388">
        <v>1653</v>
      </c>
      <c r="F388">
        <v>211</v>
      </c>
      <c r="G388">
        <v>1371.64</v>
      </c>
      <c r="H388">
        <v>25836.95</v>
      </c>
    </row>
    <row r="389" spans="1:8" x14ac:dyDescent="0.3">
      <c r="A389" s="1">
        <v>45369</v>
      </c>
      <c r="B389" t="s">
        <v>10</v>
      </c>
      <c r="C389" t="s">
        <v>15</v>
      </c>
      <c r="D389">
        <v>28928</v>
      </c>
      <c r="E389">
        <v>1662</v>
      </c>
      <c r="F389">
        <v>196</v>
      </c>
      <c r="G389">
        <v>5107.8599999999997</v>
      </c>
      <c r="H389">
        <v>17980.080000000002</v>
      </c>
    </row>
    <row r="390" spans="1:8" x14ac:dyDescent="0.3">
      <c r="A390" s="1">
        <v>45369</v>
      </c>
      <c r="B390" t="s">
        <v>11</v>
      </c>
      <c r="C390" t="s">
        <v>16</v>
      </c>
      <c r="D390">
        <v>28762</v>
      </c>
      <c r="E390">
        <v>2293</v>
      </c>
      <c r="F390">
        <v>155</v>
      </c>
      <c r="G390">
        <v>4611.79</v>
      </c>
      <c r="H390">
        <v>18511.310000000001</v>
      </c>
    </row>
    <row r="391" spans="1:8" x14ac:dyDescent="0.3">
      <c r="A391" s="1">
        <v>45369</v>
      </c>
      <c r="B391" t="s">
        <v>12</v>
      </c>
      <c r="C391" t="s">
        <v>17</v>
      </c>
      <c r="D391">
        <v>6013</v>
      </c>
      <c r="E391">
        <v>309</v>
      </c>
      <c r="F391">
        <v>21</v>
      </c>
      <c r="G391">
        <v>591.45000000000005</v>
      </c>
      <c r="H391">
        <v>2446.88</v>
      </c>
    </row>
    <row r="392" spans="1:8" x14ac:dyDescent="0.3">
      <c r="A392" s="1">
        <v>45370</v>
      </c>
      <c r="B392" t="s">
        <v>8</v>
      </c>
      <c r="C392" t="s">
        <v>13</v>
      </c>
      <c r="D392">
        <v>19537</v>
      </c>
      <c r="E392">
        <v>1042</v>
      </c>
      <c r="F392">
        <v>68</v>
      </c>
      <c r="G392">
        <v>3067.99</v>
      </c>
      <c r="H392">
        <v>3415.57</v>
      </c>
    </row>
    <row r="393" spans="1:8" x14ac:dyDescent="0.3">
      <c r="A393" s="1">
        <v>45370</v>
      </c>
      <c r="B393" t="s">
        <v>9</v>
      </c>
      <c r="C393" t="s">
        <v>14</v>
      </c>
      <c r="D393">
        <v>32766</v>
      </c>
      <c r="E393">
        <v>2332</v>
      </c>
      <c r="F393">
        <v>201</v>
      </c>
      <c r="G393">
        <v>6420.45</v>
      </c>
      <c r="H393">
        <v>10342.48</v>
      </c>
    </row>
    <row r="394" spans="1:8" x14ac:dyDescent="0.3">
      <c r="A394" s="1">
        <v>45370</v>
      </c>
      <c r="B394" t="s">
        <v>10</v>
      </c>
      <c r="C394" t="s">
        <v>15</v>
      </c>
      <c r="D394">
        <v>28225</v>
      </c>
      <c r="E394">
        <v>1391</v>
      </c>
      <c r="F394">
        <v>129</v>
      </c>
      <c r="G394">
        <v>3379.32</v>
      </c>
      <c r="H394">
        <v>14759.08</v>
      </c>
    </row>
    <row r="395" spans="1:8" x14ac:dyDescent="0.3">
      <c r="A395" s="1">
        <v>45370</v>
      </c>
      <c r="B395" t="s">
        <v>11</v>
      </c>
      <c r="C395" t="s">
        <v>16</v>
      </c>
      <c r="D395">
        <v>19226</v>
      </c>
      <c r="E395">
        <v>555</v>
      </c>
      <c r="F395">
        <v>70</v>
      </c>
      <c r="G395">
        <v>1190.6400000000001</v>
      </c>
      <c r="H395">
        <v>3393.35</v>
      </c>
    </row>
    <row r="396" spans="1:8" x14ac:dyDescent="0.3">
      <c r="A396" s="1">
        <v>45370</v>
      </c>
      <c r="B396" t="s">
        <v>12</v>
      </c>
      <c r="C396" t="s">
        <v>17</v>
      </c>
      <c r="D396">
        <v>17693</v>
      </c>
      <c r="E396">
        <v>1038</v>
      </c>
      <c r="F396">
        <v>121</v>
      </c>
      <c r="G396">
        <v>3582.47</v>
      </c>
      <c r="H396">
        <v>7633</v>
      </c>
    </row>
    <row r="397" spans="1:8" x14ac:dyDescent="0.3">
      <c r="A397" s="1">
        <v>45371</v>
      </c>
      <c r="B397" t="s">
        <v>8</v>
      </c>
      <c r="C397" t="s">
        <v>13</v>
      </c>
      <c r="D397">
        <v>15258</v>
      </c>
      <c r="E397">
        <v>622</v>
      </c>
      <c r="F397">
        <v>24</v>
      </c>
      <c r="G397">
        <v>1048.77</v>
      </c>
      <c r="H397">
        <v>2105.81</v>
      </c>
    </row>
    <row r="398" spans="1:8" x14ac:dyDescent="0.3">
      <c r="A398" s="1">
        <v>45371</v>
      </c>
      <c r="B398" t="s">
        <v>9</v>
      </c>
      <c r="C398" t="s">
        <v>14</v>
      </c>
      <c r="D398">
        <v>38937</v>
      </c>
      <c r="E398">
        <v>1401</v>
      </c>
      <c r="F398">
        <v>39</v>
      </c>
      <c r="G398">
        <v>4152.13</v>
      </c>
      <c r="H398">
        <v>4848.66</v>
      </c>
    </row>
    <row r="399" spans="1:8" x14ac:dyDescent="0.3">
      <c r="A399" s="1">
        <v>45371</v>
      </c>
      <c r="B399" t="s">
        <v>10</v>
      </c>
      <c r="C399" t="s">
        <v>15</v>
      </c>
      <c r="D399">
        <v>21184</v>
      </c>
      <c r="E399">
        <v>1595</v>
      </c>
      <c r="F399">
        <v>165</v>
      </c>
      <c r="G399">
        <v>3090.1</v>
      </c>
      <c r="H399">
        <v>18146.62</v>
      </c>
    </row>
    <row r="400" spans="1:8" x14ac:dyDescent="0.3">
      <c r="A400" s="1">
        <v>45371</v>
      </c>
      <c r="B400" t="s">
        <v>11</v>
      </c>
      <c r="C400" t="s">
        <v>16</v>
      </c>
      <c r="D400">
        <v>35447</v>
      </c>
      <c r="E400">
        <v>796</v>
      </c>
      <c r="F400">
        <v>86</v>
      </c>
      <c r="G400">
        <v>2766.93</v>
      </c>
      <c r="H400">
        <v>10508.7</v>
      </c>
    </row>
    <row r="401" spans="1:8" x14ac:dyDescent="0.3">
      <c r="A401" s="1">
        <v>45371</v>
      </c>
      <c r="B401" t="s">
        <v>12</v>
      </c>
      <c r="C401" t="s">
        <v>17</v>
      </c>
      <c r="D401">
        <v>19472</v>
      </c>
      <c r="E401">
        <v>1490</v>
      </c>
      <c r="F401">
        <v>69</v>
      </c>
      <c r="G401">
        <v>3467.21</v>
      </c>
      <c r="H401">
        <v>10195.52</v>
      </c>
    </row>
    <row r="402" spans="1:8" x14ac:dyDescent="0.3">
      <c r="A402" s="1">
        <v>45372</v>
      </c>
      <c r="B402" t="s">
        <v>8</v>
      </c>
      <c r="C402" t="s">
        <v>13</v>
      </c>
      <c r="D402">
        <v>33272</v>
      </c>
      <c r="E402">
        <v>1697</v>
      </c>
      <c r="F402">
        <v>163</v>
      </c>
      <c r="G402">
        <v>4554.26</v>
      </c>
      <c r="H402">
        <v>23188.03</v>
      </c>
    </row>
    <row r="403" spans="1:8" x14ac:dyDescent="0.3">
      <c r="A403" s="1">
        <v>45372</v>
      </c>
      <c r="B403" t="s">
        <v>9</v>
      </c>
      <c r="C403" t="s">
        <v>14</v>
      </c>
      <c r="D403">
        <v>23994</v>
      </c>
      <c r="E403">
        <v>1819</v>
      </c>
      <c r="F403">
        <v>97</v>
      </c>
      <c r="G403">
        <v>3565.37</v>
      </c>
      <c r="H403">
        <v>13192.03</v>
      </c>
    </row>
    <row r="404" spans="1:8" x14ac:dyDescent="0.3">
      <c r="A404" s="1">
        <v>45372</v>
      </c>
      <c r="B404" t="s">
        <v>10</v>
      </c>
      <c r="C404" t="s">
        <v>15</v>
      </c>
      <c r="D404">
        <v>12999</v>
      </c>
      <c r="E404">
        <v>299</v>
      </c>
      <c r="F404">
        <v>37</v>
      </c>
      <c r="G404">
        <v>609.09</v>
      </c>
      <c r="H404">
        <v>3445.68</v>
      </c>
    </row>
    <row r="405" spans="1:8" x14ac:dyDescent="0.3">
      <c r="A405" s="1">
        <v>45372</v>
      </c>
      <c r="B405" t="s">
        <v>11</v>
      </c>
      <c r="C405" t="s">
        <v>16</v>
      </c>
      <c r="D405">
        <v>31201</v>
      </c>
      <c r="E405">
        <v>488</v>
      </c>
      <c r="F405">
        <v>55</v>
      </c>
      <c r="G405">
        <v>1044.54</v>
      </c>
      <c r="H405">
        <v>4842.95</v>
      </c>
    </row>
    <row r="406" spans="1:8" x14ac:dyDescent="0.3">
      <c r="A406" s="1">
        <v>45372</v>
      </c>
      <c r="B406" t="s">
        <v>12</v>
      </c>
      <c r="C406" t="s">
        <v>17</v>
      </c>
      <c r="D406">
        <v>8384</v>
      </c>
      <c r="E406">
        <v>87</v>
      </c>
      <c r="F406">
        <v>2</v>
      </c>
      <c r="G406">
        <v>122.51</v>
      </c>
      <c r="H406">
        <v>108.9</v>
      </c>
    </row>
    <row r="407" spans="1:8" x14ac:dyDescent="0.3">
      <c r="A407" s="1">
        <v>45373</v>
      </c>
      <c r="B407" t="s">
        <v>8</v>
      </c>
      <c r="C407" t="s">
        <v>13</v>
      </c>
      <c r="D407">
        <v>12736</v>
      </c>
      <c r="E407">
        <v>797</v>
      </c>
      <c r="F407">
        <v>84</v>
      </c>
      <c r="G407">
        <v>2696.14</v>
      </c>
      <c r="H407">
        <v>3997.17</v>
      </c>
    </row>
    <row r="408" spans="1:8" x14ac:dyDescent="0.3">
      <c r="A408" s="1">
        <v>45373</v>
      </c>
      <c r="B408" t="s">
        <v>9</v>
      </c>
      <c r="C408" t="s">
        <v>14</v>
      </c>
      <c r="D408">
        <v>14067</v>
      </c>
      <c r="E408">
        <v>184</v>
      </c>
      <c r="F408">
        <v>4</v>
      </c>
      <c r="G408">
        <v>284.18</v>
      </c>
      <c r="H408">
        <v>281.27</v>
      </c>
    </row>
    <row r="409" spans="1:8" x14ac:dyDescent="0.3">
      <c r="A409" s="1">
        <v>45373</v>
      </c>
      <c r="B409" t="s">
        <v>10</v>
      </c>
      <c r="C409" t="s">
        <v>15</v>
      </c>
      <c r="D409">
        <v>13461</v>
      </c>
      <c r="E409">
        <v>369</v>
      </c>
      <c r="F409">
        <v>20</v>
      </c>
      <c r="G409">
        <v>1051.79</v>
      </c>
      <c r="H409">
        <v>1789.43</v>
      </c>
    </row>
    <row r="410" spans="1:8" x14ac:dyDescent="0.3">
      <c r="A410" s="1">
        <v>45373</v>
      </c>
      <c r="B410" t="s">
        <v>11</v>
      </c>
      <c r="C410" t="s">
        <v>16</v>
      </c>
      <c r="D410">
        <v>37972</v>
      </c>
      <c r="E410">
        <v>1092</v>
      </c>
      <c r="F410">
        <v>44</v>
      </c>
      <c r="G410">
        <v>3388.85</v>
      </c>
      <c r="H410">
        <v>1985.06</v>
      </c>
    </row>
    <row r="411" spans="1:8" x14ac:dyDescent="0.3">
      <c r="A411" s="1">
        <v>45373</v>
      </c>
      <c r="B411" t="s">
        <v>12</v>
      </c>
      <c r="C411" t="s">
        <v>17</v>
      </c>
      <c r="D411">
        <v>23681</v>
      </c>
      <c r="E411">
        <v>1168</v>
      </c>
      <c r="F411">
        <v>75</v>
      </c>
      <c r="G411">
        <v>1928.38</v>
      </c>
      <c r="H411">
        <v>9367.83</v>
      </c>
    </row>
    <row r="412" spans="1:8" x14ac:dyDescent="0.3">
      <c r="A412" s="1">
        <v>45374</v>
      </c>
      <c r="B412" t="s">
        <v>8</v>
      </c>
      <c r="C412" t="s">
        <v>13</v>
      </c>
      <c r="D412">
        <v>36358</v>
      </c>
      <c r="E412">
        <v>966</v>
      </c>
      <c r="F412">
        <v>111</v>
      </c>
      <c r="G412">
        <v>2202.9299999999998</v>
      </c>
      <c r="H412">
        <v>6002.74</v>
      </c>
    </row>
    <row r="413" spans="1:8" x14ac:dyDescent="0.3">
      <c r="A413" s="1">
        <v>45374</v>
      </c>
      <c r="B413" t="s">
        <v>9</v>
      </c>
      <c r="C413" t="s">
        <v>14</v>
      </c>
      <c r="D413">
        <v>16929</v>
      </c>
      <c r="E413">
        <v>665</v>
      </c>
      <c r="F413">
        <v>35</v>
      </c>
      <c r="G413">
        <v>1844.19</v>
      </c>
      <c r="H413">
        <v>5177.99</v>
      </c>
    </row>
    <row r="414" spans="1:8" x14ac:dyDescent="0.3">
      <c r="A414" s="1">
        <v>45374</v>
      </c>
      <c r="B414" t="s">
        <v>10</v>
      </c>
      <c r="C414" t="s">
        <v>15</v>
      </c>
      <c r="D414">
        <v>33228</v>
      </c>
      <c r="E414">
        <v>1853</v>
      </c>
      <c r="F414">
        <v>84</v>
      </c>
      <c r="G414">
        <v>4310.8</v>
      </c>
      <c r="H414">
        <v>7646.74</v>
      </c>
    </row>
    <row r="415" spans="1:8" x14ac:dyDescent="0.3">
      <c r="A415" s="1">
        <v>45374</v>
      </c>
      <c r="B415" t="s">
        <v>11</v>
      </c>
      <c r="C415" t="s">
        <v>16</v>
      </c>
      <c r="D415">
        <v>27360</v>
      </c>
      <c r="E415">
        <v>2087</v>
      </c>
      <c r="F415">
        <v>304</v>
      </c>
      <c r="G415">
        <v>2700.87</v>
      </c>
      <c r="H415">
        <v>12896.86</v>
      </c>
    </row>
    <row r="416" spans="1:8" x14ac:dyDescent="0.3">
      <c r="A416" s="1">
        <v>45374</v>
      </c>
      <c r="B416" t="s">
        <v>12</v>
      </c>
      <c r="C416" t="s">
        <v>17</v>
      </c>
      <c r="D416">
        <v>34300</v>
      </c>
      <c r="E416">
        <v>883</v>
      </c>
      <c r="F416">
        <v>46</v>
      </c>
      <c r="G416">
        <v>2734.35</v>
      </c>
      <c r="H416">
        <v>4679.79</v>
      </c>
    </row>
    <row r="417" spans="1:8" x14ac:dyDescent="0.3">
      <c r="A417" s="1">
        <v>45375</v>
      </c>
      <c r="B417" t="s">
        <v>8</v>
      </c>
      <c r="C417" t="s">
        <v>13</v>
      </c>
      <c r="D417">
        <v>14879</v>
      </c>
      <c r="E417">
        <v>268</v>
      </c>
      <c r="F417">
        <v>35</v>
      </c>
      <c r="G417">
        <v>737.43</v>
      </c>
      <c r="H417">
        <v>1660.52</v>
      </c>
    </row>
    <row r="418" spans="1:8" x14ac:dyDescent="0.3">
      <c r="A418" s="1">
        <v>45375</v>
      </c>
      <c r="B418" t="s">
        <v>9</v>
      </c>
      <c r="C418" t="s">
        <v>14</v>
      </c>
      <c r="D418">
        <v>26008</v>
      </c>
      <c r="E418">
        <v>1375</v>
      </c>
      <c r="F418">
        <v>67</v>
      </c>
      <c r="G418">
        <v>4244.1899999999996</v>
      </c>
      <c r="H418">
        <v>5839.01</v>
      </c>
    </row>
    <row r="419" spans="1:8" x14ac:dyDescent="0.3">
      <c r="A419" s="1">
        <v>45375</v>
      </c>
      <c r="B419" t="s">
        <v>10</v>
      </c>
      <c r="C419" t="s">
        <v>15</v>
      </c>
      <c r="D419">
        <v>22921</v>
      </c>
      <c r="E419">
        <v>1294</v>
      </c>
      <c r="F419">
        <v>62</v>
      </c>
      <c r="G419">
        <v>1376.06</v>
      </c>
      <c r="H419">
        <v>8358.75</v>
      </c>
    </row>
    <row r="420" spans="1:8" x14ac:dyDescent="0.3">
      <c r="A420" s="1">
        <v>45375</v>
      </c>
      <c r="B420" t="s">
        <v>11</v>
      </c>
      <c r="C420" t="s">
        <v>16</v>
      </c>
      <c r="D420">
        <v>17722</v>
      </c>
      <c r="E420">
        <v>984</v>
      </c>
      <c r="F420">
        <v>89</v>
      </c>
      <c r="G420">
        <v>952.65</v>
      </c>
      <c r="H420">
        <v>8577.4</v>
      </c>
    </row>
    <row r="421" spans="1:8" x14ac:dyDescent="0.3">
      <c r="A421" s="1">
        <v>45375</v>
      </c>
      <c r="B421" t="s">
        <v>12</v>
      </c>
      <c r="C421" t="s">
        <v>17</v>
      </c>
      <c r="D421">
        <v>35651</v>
      </c>
      <c r="E421">
        <v>1244</v>
      </c>
      <c r="F421">
        <v>183</v>
      </c>
      <c r="G421">
        <v>3662.05</v>
      </c>
      <c r="H421">
        <v>17329.759999999998</v>
      </c>
    </row>
    <row r="422" spans="1:8" x14ac:dyDescent="0.3">
      <c r="A422" s="1">
        <v>45376</v>
      </c>
      <c r="B422" t="s">
        <v>8</v>
      </c>
      <c r="C422" t="s">
        <v>13</v>
      </c>
      <c r="D422">
        <v>23708</v>
      </c>
      <c r="E422">
        <v>510</v>
      </c>
      <c r="F422">
        <v>32</v>
      </c>
      <c r="G422">
        <v>1450.05</v>
      </c>
      <c r="H422">
        <v>3108.24</v>
      </c>
    </row>
    <row r="423" spans="1:8" x14ac:dyDescent="0.3">
      <c r="A423" s="1">
        <v>45376</v>
      </c>
      <c r="B423" t="s">
        <v>9</v>
      </c>
      <c r="C423" t="s">
        <v>14</v>
      </c>
      <c r="D423">
        <v>11519</v>
      </c>
      <c r="E423">
        <v>216</v>
      </c>
      <c r="F423">
        <v>22</v>
      </c>
      <c r="G423">
        <v>267.06</v>
      </c>
      <c r="H423">
        <v>1498.29</v>
      </c>
    </row>
    <row r="424" spans="1:8" x14ac:dyDescent="0.3">
      <c r="A424" s="1">
        <v>45376</v>
      </c>
      <c r="B424" t="s">
        <v>10</v>
      </c>
      <c r="C424" t="s">
        <v>15</v>
      </c>
      <c r="D424">
        <v>32624</v>
      </c>
      <c r="E424">
        <v>1605</v>
      </c>
      <c r="F424">
        <v>188</v>
      </c>
      <c r="G424">
        <v>3702.01</v>
      </c>
      <c r="H424">
        <v>18945.98</v>
      </c>
    </row>
    <row r="425" spans="1:8" x14ac:dyDescent="0.3">
      <c r="A425" s="1">
        <v>45376</v>
      </c>
      <c r="B425" t="s">
        <v>11</v>
      </c>
      <c r="C425" t="s">
        <v>16</v>
      </c>
      <c r="D425">
        <v>27263</v>
      </c>
      <c r="E425">
        <v>1158</v>
      </c>
      <c r="F425">
        <v>160</v>
      </c>
      <c r="G425">
        <v>2610.71</v>
      </c>
      <c r="H425">
        <v>15161.5</v>
      </c>
    </row>
    <row r="426" spans="1:8" x14ac:dyDescent="0.3">
      <c r="A426" s="1">
        <v>45376</v>
      </c>
      <c r="B426" t="s">
        <v>12</v>
      </c>
      <c r="C426" t="s">
        <v>17</v>
      </c>
      <c r="D426">
        <v>26253</v>
      </c>
      <c r="E426">
        <v>946</v>
      </c>
      <c r="F426">
        <v>74</v>
      </c>
      <c r="G426">
        <v>1771.79</v>
      </c>
      <c r="H426">
        <v>3720.34</v>
      </c>
    </row>
    <row r="427" spans="1:8" x14ac:dyDescent="0.3">
      <c r="A427" s="1">
        <v>45377</v>
      </c>
      <c r="B427" t="s">
        <v>8</v>
      </c>
      <c r="C427" t="s">
        <v>13</v>
      </c>
      <c r="D427">
        <v>11852</v>
      </c>
      <c r="E427">
        <v>918</v>
      </c>
      <c r="F427">
        <v>42</v>
      </c>
      <c r="G427">
        <v>2031.52</v>
      </c>
      <c r="H427">
        <v>3006.58</v>
      </c>
    </row>
    <row r="428" spans="1:8" x14ac:dyDescent="0.3">
      <c r="A428" s="1">
        <v>45377</v>
      </c>
      <c r="B428" t="s">
        <v>9</v>
      </c>
      <c r="C428" t="s">
        <v>14</v>
      </c>
      <c r="D428">
        <v>38243</v>
      </c>
      <c r="E428">
        <v>2410</v>
      </c>
      <c r="F428">
        <v>134</v>
      </c>
      <c r="G428">
        <v>3960.46</v>
      </c>
      <c r="H428">
        <v>14833.02</v>
      </c>
    </row>
    <row r="429" spans="1:8" x14ac:dyDescent="0.3">
      <c r="A429" s="1">
        <v>45377</v>
      </c>
      <c r="B429" t="s">
        <v>10</v>
      </c>
      <c r="C429" t="s">
        <v>15</v>
      </c>
      <c r="D429">
        <v>27447</v>
      </c>
      <c r="E429">
        <v>1997</v>
      </c>
      <c r="F429">
        <v>174</v>
      </c>
      <c r="G429">
        <v>4011.03</v>
      </c>
      <c r="H429">
        <v>17636.68</v>
      </c>
    </row>
    <row r="430" spans="1:8" x14ac:dyDescent="0.3">
      <c r="A430" s="1">
        <v>45377</v>
      </c>
      <c r="B430" t="s">
        <v>11</v>
      </c>
      <c r="C430" t="s">
        <v>16</v>
      </c>
      <c r="D430">
        <v>19721</v>
      </c>
      <c r="E430">
        <v>634</v>
      </c>
      <c r="F430">
        <v>83</v>
      </c>
      <c r="G430">
        <v>2058.34</v>
      </c>
      <c r="H430">
        <v>5848.14</v>
      </c>
    </row>
    <row r="431" spans="1:8" x14ac:dyDescent="0.3">
      <c r="A431" s="1">
        <v>45377</v>
      </c>
      <c r="B431" t="s">
        <v>12</v>
      </c>
      <c r="C431" t="s">
        <v>17</v>
      </c>
      <c r="D431">
        <v>9135</v>
      </c>
      <c r="E431">
        <v>415</v>
      </c>
      <c r="F431">
        <v>40</v>
      </c>
      <c r="G431">
        <v>369.41</v>
      </c>
      <c r="H431">
        <v>3200.25</v>
      </c>
    </row>
    <row r="432" spans="1:8" x14ac:dyDescent="0.3">
      <c r="A432" s="1">
        <v>45378</v>
      </c>
      <c r="B432" t="s">
        <v>8</v>
      </c>
      <c r="C432" t="s">
        <v>13</v>
      </c>
      <c r="D432">
        <v>22071</v>
      </c>
      <c r="E432">
        <v>455</v>
      </c>
      <c r="F432">
        <v>35</v>
      </c>
      <c r="G432">
        <v>1119.8900000000001</v>
      </c>
      <c r="H432">
        <v>1721.34</v>
      </c>
    </row>
    <row r="433" spans="1:8" x14ac:dyDescent="0.3">
      <c r="A433" s="1">
        <v>45378</v>
      </c>
      <c r="B433" t="s">
        <v>9</v>
      </c>
      <c r="C433" t="s">
        <v>14</v>
      </c>
      <c r="D433">
        <v>7591</v>
      </c>
      <c r="E433">
        <v>138</v>
      </c>
      <c r="F433">
        <v>16</v>
      </c>
      <c r="G433">
        <v>229.51</v>
      </c>
      <c r="H433">
        <v>2379.61</v>
      </c>
    </row>
    <row r="434" spans="1:8" x14ac:dyDescent="0.3">
      <c r="A434" s="1">
        <v>45378</v>
      </c>
      <c r="B434" t="s">
        <v>10</v>
      </c>
      <c r="C434" t="s">
        <v>15</v>
      </c>
      <c r="D434">
        <v>36852</v>
      </c>
      <c r="E434">
        <v>2907</v>
      </c>
      <c r="F434">
        <v>310</v>
      </c>
      <c r="G434">
        <v>7307.07</v>
      </c>
      <c r="H434">
        <v>18059.060000000001</v>
      </c>
    </row>
    <row r="435" spans="1:8" x14ac:dyDescent="0.3">
      <c r="A435" s="1">
        <v>45378</v>
      </c>
      <c r="B435" t="s">
        <v>11</v>
      </c>
      <c r="C435" t="s">
        <v>16</v>
      </c>
      <c r="D435">
        <v>6125</v>
      </c>
      <c r="E435">
        <v>481</v>
      </c>
      <c r="F435">
        <v>50</v>
      </c>
      <c r="G435">
        <v>553.41</v>
      </c>
      <c r="H435">
        <v>5777.74</v>
      </c>
    </row>
    <row r="436" spans="1:8" x14ac:dyDescent="0.3">
      <c r="A436" s="1">
        <v>45378</v>
      </c>
      <c r="B436" t="s">
        <v>12</v>
      </c>
      <c r="C436" t="s">
        <v>17</v>
      </c>
      <c r="D436">
        <v>31819</v>
      </c>
      <c r="E436">
        <v>1920</v>
      </c>
      <c r="F436">
        <v>260</v>
      </c>
      <c r="G436">
        <v>1947.64</v>
      </c>
      <c r="H436">
        <v>31320.799999999999</v>
      </c>
    </row>
    <row r="437" spans="1:8" x14ac:dyDescent="0.3">
      <c r="A437" s="1">
        <v>45379</v>
      </c>
      <c r="B437" t="s">
        <v>8</v>
      </c>
      <c r="C437" t="s">
        <v>13</v>
      </c>
      <c r="D437">
        <v>20036</v>
      </c>
      <c r="E437">
        <v>672</v>
      </c>
      <c r="F437">
        <v>39</v>
      </c>
      <c r="G437">
        <v>2203.6</v>
      </c>
      <c r="H437">
        <v>2035.11</v>
      </c>
    </row>
    <row r="438" spans="1:8" x14ac:dyDescent="0.3">
      <c r="A438" s="1">
        <v>45379</v>
      </c>
      <c r="B438" t="s">
        <v>9</v>
      </c>
      <c r="C438" t="s">
        <v>14</v>
      </c>
      <c r="D438">
        <v>21299</v>
      </c>
      <c r="E438">
        <v>1686</v>
      </c>
      <c r="F438">
        <v>231</v>
      </c>
      <c r="G438">
        <v>4315.32</v>
      </c>
      <c r="H438">
        <v>17220.28</v>
      </c>
    </row>
    <row r="439" spans="1:8" x14ac:dyDescent="0.3">
      <c r="A439" s="1">
        <v>45379</v>
      </c>
      <c r="B439" t="s">
        <v>10</v>
      </c>
      <c r="C439" t="s">
        <v>15</v>
      </c>
      <c r="D439">
        <v>21087</v>
      </c>
      <c r="E439">
        <v>940</v>
      </c>
      <c r="F439">
        <v>120</v>
      </c>
      <c r="G439">
        <v>1602.76</v>
      </c>
      <c r="H439">
        <v>7093.65</v>
      </c>
    </row>
    <row r="440" spans="1:8" x14ac:dyDescent="0.3">
      <c r="A440" s="1">
        <v>45379</v>
      </c>
      <c r="B440" t="s">
        <v>11</v>
      </c>
      <c r="C440" t="s">
        <v>16</v>
      </c>
      <c r="D440">
        <v>25215</v>
      </c>
      <c r="E440">
        <v>406</v>
      </c>
      <c r="F440">
        <v>46</v>
      </c>
      <c r="G440">
        <v>785.33</v>
      </c>
      <c r="H440">
        <v>6421.12</v>
      </c>
    </row>
    <row r="441" spans="1:8" x14ac:dyDescent="0.3">
      <c r="A441" s="1">
        <v>45379</v>
      </c>
      <c r="B441" t="s">
        <v>12</v>
      </c>
      <c r="C441" t="s">
        <v>17</v>
      </c>
      <c r="D441">
        <v>11450</v>
      </c>
      <c r="E441">
        <v>475</v>
      </c>
      <c r="F441">
        <v>55</v>
      </c>
      <c r="G441">
        <v>1215.0999999999999</v>
      </c>
      <c r="H441">
        <v>5956.62</v>
      </c>
    </row>
    <row r="442" spans="1:8" x14ac:dyDescent="0.3">
      <c r="A442" s="1">
        <v>45380</v>
      </c>
      <c r="B442" t="s">
        <v>8</v>
      </c>
      <c r="C442" t="s">
        <v>13</v>
      </c>
      <c r="D442">
        <v>21021</v>
      </c>
      <c r="E442">
        <v>1296</v>
      </c>
      <c r="F442">
        <v>161</v>
      </c>
      <c r="G442">
        <v>3989.21</v>
      </c>
      <c r="H442">
        <v>10937.9</v>
      </c>
    </row>
    <row r="443" spans="1:8" x14ac:dyDescent="0.3">
      <c r="A443" s="1">
        <v>45380</v>
      </c>
      <c r="B443" t="s">
        <v>9</v>
      </c>
      <c r="C443" t="s">
        <v>14</v>
      </c>
      <c r="D443">
        <v>17576</v>
      </c>
      <c r="E443">
        <v>331</v>
      </c>
      <c r="F443">
        <v>35</v>
      </c>
      <c r="G443">
        <v>555.35</v>
      </c>
      <c r="H443">
        <v>4042.36</v>
      </c>
    </row>
    <row r="444" spans="1:8" x14ac:dyDescent="0.3">
      <c r="A444" s="1">
        <v>45380</v>
      </c>
      <c r="B444" t="s">
        <v>10</v>
      </c>
      <c r="C444" t="s">
        <v>15</v>
      </c>
      <c r="D444">
        <v>5155</v>
      </c>
      <c r="E444">
        <v>297</v>
      </c>
      <c r="F444">
        <v>12</v>
      </c>
      <c r="G444">
        <v>763.07</v>
      </c>
      <c r="H444">
        <v>1789.1</v>
      </c>
    </row>
    <row r="445" spans="1:8" x14ac:dyDescent="0.3">
      <c r="A445" s="1">
        <v>45380</v>
      </c>
      <c r="B445" t="s">
        <v>11</v>
      </c>
      <c r="C445" t="s">
        <v>16</v>
      </c>
      <c r="D445">
        <v>30215</v>
      </c>
      <c r="E445">
        <v>1661</v>
      </c>
      <c r="F445">
        <v>183</v>
      </c>
      <c r="G445">
        <v>3627.9</v>
      </c>
      <c r="H445">
        <v>13465.9</v>
      </c>
    </row>
    <row r="446" spans="1:8" x14ac:dyDescent="0.3">
      <c r="A446" s="1">
        <v>45380</v>
      </c>
      <c r="B446" t="s">
        <v>12</v>
      </c>
      <c r="C446" t="s">
        <v>17</v>
      </c>
      <c r="D446">
        <v>11370</v>
      </c>
      <c r="E446">
        <v>721</v>
      </c>
      <c r="F446">
        <v>52</v>
      </c>
      <c r="G446">
        <v>2054.83</v>
      </c>
      <c r="H446">
        <v>7248.64</v>
      </c>
    </row>
    <row r="447" spans="1:8" x14ac:dyDescent="0.3">
      <c r="A447" s="1">
        <v>45381</v>
      </c>
      <c r="B447" t="s">
        <v>8</v>
      </c>
      <c r="C447" t="s">
        <v>13</v>
      </c>
      <c r="D447">
        <v>28952</v>
      </c>
      <c r="E447">
        <v>1842</v>
      </c>
      <c r="F447">
        <v>225</v>
      </c>
      <c r="G447">
        <v>4780.84</v>
      </c>
      <c r="H447">
        <v>15442.1</v>
      </c>
    </row>
    <row r="448" spans="1:8" x14ac:dyDescent="0.3">
      <c r="A448" s="1">
        <v>45381</v>
      </c>
      <c r="B448" t="s">
        <v>9</v>
      </c>
      <c r="C448" t="s">
        <v>14</v>
      </c>
      <c r="D448">
        <v>26125</v>
      </c>
      <c r="E448">
        <v>1487</v>
      </c>
      <c r="F448">
        <v>138</v>
      </c>
      <c r="G448">
        <v>1635.21</v>
      </c>
      <c r="H448">
        <v>12306.3</v>
      </c>
    </row>
    <row r="449" spans="1:8" x14ac:dyDescent="0.3">
      <c r="A449" s="1">
        <v>45381</v>
      </c>
      <c r="B449" t="s">
        <v>10</v>
      </c>
      <c r="C449" t="s">
        <v>15</v>
      </c>
      <c r="D449">
        <v>7597</v>
      </c>
      <c r="E449">
        <v>196</v>
      </c>
      <c r="F449">
        <v>13</v>
      </c>
      <c r="G449">
        <v>224.99</v>
      </c>
      <c r="H449">
        <v>1110.25</v>
      </c>
    </row>
    <row r="450" spans="1:8" x14ac:dyDescent="0.3">
      <c r="A450" s="1">
        <v>45381</v>
      </c>
      <c r="B450" t="s">
        <v>11</v>
      </c>
      <c r="C450" t="s">
        <v>16</v>
      </c>
      <c r="D450">
        <v>11142</v>
      </c>
      <c r="E450">
        <v>197</v>
      </c>
      <c r="F450">
        <v>14</v>
      </c>
      <c r="G450">
        <v>179.95</v>
      </c>
      <c r="H450">
        <v>1699.45</v>
      </c>
    </row>
    <row r="451" spans="1:8" x14ac:dyDescent="0.3">
      <c r="A451" s="1">
        <v>45381</v>
      </c>
      <c r="B451" t="s">
        <v>12</v>
      </c>
      <c r="C451" t="s">
        <v>17</v>
      </c>
      <c r="D451">
        <v>9249</v>
      </c>
      <c r="E451">
        <v>718</v>
      </c>
      <c r="F451">
        <v>26</v>
      </c>
      <c r="G451">
        <v>1946.32</v>
      </c>
      <c r="H451">
        <v>3822.14</v>
      </c>
    </row>
    <row r="452" spans="1:8" x14ac:dyDescent="0.3">
      <c r="A452" s="1">
        <v>45382</v>
      </c>
      <c r="B452" t="s">
        <v>8</v>
      </c>
      <c r="C452" t="s">
        <v>13</v>
      </c>
      <c r="D452">
        <v>24330</v>
      </c>
      <c r="E452">
        <v>1527</v>
      </c>
      <c r="F452">
        <v>190</v>
      </c>
      <c r="G452">
        <v>1295.8399999999999</v>
      </c>
      <c r="H452">
        <v>27722.74</v>
      </c>
    </row>
    <row r="453" spans="1:8" x14ac:dyDescent="0.3">
      <c r="A453" s="1">
        <v>45382</v>
      </c>
      <c r="B453" t="s">
        <v>9</v>
      </c>
      <c r="C453" t="s">
        <v>14</v>
      </c>
      <c r="D453">
        <v>12230</v>
      </c>
      <c r="E453">
        <v>601</v>
      </c>
      <c r="F453">
        <v>61</v>
      </c>
      <c r="G453">
        <v>1345.17</v>
      </c>
      <c r="H453">
        <v>6701.45</v>
      </c>
    </row>
    <row r="454" spans="1:8" x14ac:dyDescent="0.3">
      <c r="A454" s="1">
        <v>45382</v>
      </c>
      <c r="B454" t="s">
        <v>10</v>
      </c>
      <c r="C454" t="s">
        <v>15</v>
      </c>
      <c r="D454">
        <v>9493</v>
      </c>
      <c r="E454">
        <v>240</v>
      </c>
      <c r="F454">
        <v>8</v>
      </c>
      <c r="G454">
        <v>236.28</v>
      </c>
      <c r="H454">
        <v>551.72</v>
      </c>
    </row>
    <row r="455" spans="1:8" x14ac:dyDescent="0.3">
      <c r="A455" s="1">
        <v>45382</v>
      </c>
      <c r="B455" t="s">
        <v>11</v>
      </c>
      <c r="C455" t="s">
        <v>16</v>
      </c>
      <c r="D455">
        <v>11816</v>
      </c>
      <c r="E455">
        <v>505</v>
      </c>
      <c r="F455">
        <v>29</v>
      </c>
      <c r="G455">
        <v>1219.8599999999999</v>
      </c>
      <c r="H455">
        <v>2108.19</v>
      </c>
    </row>
    <row r="456" spans="1:8" x14ac:dyDescent="0.3">
      <c r="A456" s="1">
        <v>45382</v>
      </c>
      <c r="B456" t="s">
        <v>12</v>
      </c>
      <c r="C456" t="s">
        <v>17</v>
      </c>
      <c r="D456">
        <v>37698</v>
      </c>
      <c r="E456">
        <v>2303</v>
      </c>
      <c r="F456">
        <v>225</v>
      </c>
      <c r="G456">
        <v>2243.41</v>
      </c>
      <c r="H456">
        <v>30711.68</v>
      </c>
    </row>
    <row r="457" spans="1:8" x14ac:dyDescent="0.3">
      <c r="A457" s="1">
        <v>45383</v>
      </c>
      <c r="B457" t="s">
        <v>8</v>
      </c>
      <c r="C457" t="s">
        <v>13</v>
      </c>
      <c r="D457">
        <v>19849</v>
      </c>
      <c r="E457">
        <v>1126</v>
      </c>
      <c r="F457">
        <v>109</v>
      </c>
      <c r="G457">
        <v>3613.58</v>
      </c>
      <c r="H457">
        <v>6582.11</v>
      </c>
    </row>
    <row r="458" spans="1:8" x14ac:dyDescent="0.3">
      <c r="A458" s="1">
        <v>45383</v>
      </c>
      <c r="B458" t="s">
        <v>9</v>
      </c>
      <c r="C458" t="s">
        <v>14</v>
      </c>
      <c r="D458">
        <v>26174</v>
      </c>
      <c r="E458">
        <v>1235</v>
      </c>
      <c r="F458">
        <v>159</v>
      </c>
      <c r="G458">
        <v>1939.3</v>
      </c>
      <c r="H458">
        <v>13866.4</v>
      </c>
    </row>
    <row r="459" spans="1:8" x14ac:dyDescent="0.3">
      <c r="A459" s="1">
        <v>45383</v>
      </c>
      <c r="B459" t="s">
        <v>10</v>
      </c>
      <c r="C459" t="s">
        <v>15</v>
      </c>
      <c r="D459">
        <v>5778</v>
      </c>
      <c r="E459">
        <v>460</v>
      </c>
      <c r="F459">
        <v>60</v>
      </c>
      <c r="G459">
        <v>1015.64</v>
      </c>
      <c r="H459">
        <v>2820.03</v>
      </c>
    </row>
    <row r="460" spans="1:8" x14ac:dyDescent="0.3">
      <c r="A460" s="1">
        <v>45383</v>
      </c>
      <c r="B460" t="s">
        <v>11</v>
      </c>
      <c r="C460" t="s">
        <v>16</v>
      </c>
      <c r="D460">
        <v>12851</v>
      </c>
      <c r="E460">
        <v>231</v>
      </c>
      <c r="F460">
        <v>7</v>
      </c>
      <c r="G460">
        <v>752.13</v>
      </c>
      <c r="H460">
        <v>795.28</v>
      </c>
    </row>
    <row r="461" spans="1:8" x14ac:dyDescent="0.3">
      <c r="A461" s="1">
        <v>45383</v>
      </c>
      <c r="B461" t="s">
        <v>12</v>
      </c>
      <c r="C461" t="s">
        <v>17</v>
      </c>
      <c r="D461">
        <v>14168</v>
      </c>
      <c r="E461">
        <v>205</v>
      </c>
      <c r="F461">
        <v>29</v>
      </c>
      <c r="G461">
        <v>177.92</v>
      </c>
      <c r="H461">
        <v>3375.3</v>
      </c>
    </row>
    <row r="462" spans="1:8" x14ac:dyDescent="0.3">
      <c r="A462" s="1">
        <v>45384</v>
      </c>
      <c r="B462" t="s">
        <v>8</v>
      </c>
      <c r="C462" t="s">
        <v>13</v>
      </c>
      <c r="D462">
        <v>39215</v>
      </c>
      <c r="E462">
        <v>1262</v>
      </c>
      <c r="F462">
        <v>96</v>
      </c>
      <c r="G462">
        <v>3646.52</v>
      </c>
      <c r="H462">
        <v>10196.31</v>
      </c>
    </row>
    <row r="463" spans="1:8" x14ac:dyDescent="0.3">
      <c r="A463" s="1">
        <v>45384</v>
      </c>
      <c r="B463" t="s">
        <v>9</v>
      </c>
      <c r="C463" t="s">
        <v>14</v>
      </c>
      <c r="D463">
        <v>31649</v>
      </c>
      <c r="E463">
        <v>681</v>
      </c>
      <c r="F463">
        <v>28</v>
      </c>
      <c r="G463">
        <v>2288.09</v>
      </c>
      <c r="H463">
        <v>2491.36</v>
      </c>
    </row>
    <row r="464" spans="1:8" x14ac:dyDescent="0.3">
      <c r="A464" s="1">
        <v>45384</v>
      </c>
      <c r="B464" t="s">
        <v>10</v>
      </c>
      <c r="C464" t="s">
        <v>15</v>
      </c>
      <c r="D464">
        <v>17466</v>
      </c>
      <c r="E464">
        <v>464</v>
      </c>
      <c r="F464">
        <v>40</v>
      </c>
      <c r="G464">
        <v>501.77</v>
      </c>
      <c r="H464">
        <v>3291.85</v>
      </c>
    </row>
    <row r="465" spans="1:8" x14ac:dyDescent="0.3">
      <c r="A465" s="1">
        <v>45384</v>
      </c>
      <c r="B465" t="s">
        <v>11</v>
      </c>
      <c r="C465" t="s">
        <v>16</v>
      </c>
      <c r="D465">
        <v>13770</v>
      </c>
      <c r="E465">
        <v>766</v>
      </c>
      <c r="F465">
        <v>109</v>
      </c>
      <c r="G465">
        <v>1855.07</v>
      </c>
      <c r="H465">
        <v>13275.69</v>
      </c>
    </row>
    <row r="466" spans="1:8" x14ac:dyDescent="0.3">
      <c r="A466" s="1">
        <v>45384</v>
      </c>
      <c r="B466" t="s">
        <v>12</v>
      </c>
      <c r="C466" t="s">
        <v>17</v>
      </c>
      <c r="D466">
        <v>37327</v>
      </c>
      <c r="E466">
        <v>2030</v>
      </c>
      <c r="F466">
        <v>59</v>
      </c>
      <c r="G466">
        <v>3018.32</v>
      </c>
      <c r="H466">
        <v>4708.43</v>
      </c>
    </row>
    <row r="467" spans="1:8" x14ac:dyDescent="0.3">
      <c r="A467" s="1">
        <v>45385</v>
      </c>
      <c r="B467" t="s">
        <v>8</v>
      </c>
      <c r="C467" t="s">
        <v>13</v>
      </c>
      <c r="D467">
        <v>26259</v>
      </c>
      <c r="E467">
        <v>1372</v>
      </c>
      <c r="F467">
        <v>189</v>
      </c>
      <c r="G467">
        <v>1982.42</v>
      </c>
      <c r="H467">
        <v>17323.849999999999</v>
      </c>
    </row>
    <row r="468" spans="1:8" x14ac:dyDescent="0.3">
      <c r="A468" s="1">
        <v>45385</v>
      </c>
      <c r="B468" t="s">
        <v>9</v>
      </c>
      <c r="C468" t="s">
        <v>14</v>
      </c>
      <c r="D468">
        <v>15332</v>
      </c>
      <c r="E468">
        <v>660</v>
      </c>
      <c r="F468">
        <v>66</v>
      </c>
      <c r="G468">
        <v>1365.08</v>
      </c>
      <c r="H468">
        <v>5888.62</v>
      </c>
    </row>
    <row r="469" spans="1:8" x14ac:dyDescent="0.3">
      <c r="A469" s="1">
        <v>45385</v>
      </c>
      <c r="B469" t="s">
        <v>10</v>
      </c>
      <c r="C469" t="s">
        <v>15</v>
      </c>
      <c r="D469">
        <v>35519</v>
      </c>
      <c r="E469">
        <v>1824</v>
      </c>
      <c r="F469">
        <v>163</v>
      </c>
      <c r="G469">
        <v>5665.65</v>
      </c>
      <c r="H469">
        <v>7407.48</v>
      </c>
    </row>
    <row r="470" spans="1:8" x14ac:dyDescent="0.3">
      <c r="A470" s="1">
        <v>45385</v>
      </c>
      <c r="B470" t="s">
        <v>11</v>
      </c>
      <c r="C470" t="s">
        <v>16</v>
      </c>
      <c r="D470">
        <v>22543</v>
      </c>
      <c r="E470">
        <v>283</v>
      </c>
      <c r="F470">
        <v>9</v>
      </c>
      <c r="G470">
        <v>485.32</v>
      </c>
      <c r="H470">
        <v>1154.56</v>
      </c>
    </row>
    <row r="471" spans="1:8" x14ac:dyDescent="0.3">
      <c r="A471" s="1">
        <v>45385</v>
      </c>
      <c r="B471" t="s">
        <v>12</v>
      </c>
      <c r="C471" t="s">
        <v>17</v>
      </c>
      <c r="D471">
        <v>22087</v>
      </c>
      <c r="E471">
        <v>1013</v>
      </c>
      <c r="F471">
        <v>58</v>
      </c>
      <c r="G471">
        <v>3358.84</v>
      </c>
      <c r="H471">
        <v>4852.96</v>
      </c>
    </row>
    <row r="472" spans="1:8" x14ac:dyDescent="0.3">
      <c r="A472" s="1">
        <v>45386</v>
      </c>
      <c r="B472" t="s">
        <v>8</v>
      </c>
      <c r="C472" t="s">
        <v>13</v>
      </c>
      <c r="D472">
        <v>9912</v>
      </c>
      <c r="E472">
        <v>527</v>
      </c>
      <c r="F472">
        <v>18</v>
      </c>
      <c r="G472">
        <v>912.82</v>
      </c>
      <c r="H472">
        <v>1724.68</v>
      </c>
    </row>
    <row r="473" spans="1:8" x14ac:dyDescent="0.3">
      <c r="A473" s="1">
        <v>45386</v>
      </c>
      <c r="B473" t="s">
        <v>9</v>
      </c>
      <c r="C473" t="s">
        <v>14</v>
      </c>
      <c r="D473">
        <v>8112</v>
      </c>
      <c r="E473">
        <v>97</v>
      </c>
      <c r="F473">
        <v>10</v>
      </c>
      <c r="G473">
        <v>89.35</v>
      </c>
      <c r="H473">
        <v>895.66</v>
      </c>
    </row>
    <row r="474" spans="1:8" x14ac:dyDescent="0.3">
      <c r="A474" s="1">
        <v>45386</v>
      </c>
      <c r="B474" t="s">
        <v>10</v>
      </c>
      <c r="C474" t="s">
        <v>15</v>
      </c>
      <c r="D474">
        <v>13210</v>
      </c>
      <c r="E474">
        <v>512</v>
      </c>
      <c r="F474">
        <v>70</v>
      </c>
      <c r="G474">
        <v>1396.68</v>
      </c>
      <c r="H474">
        <v>7480.87</v>
      </c>
    </row>
    <row r="475" spans="1:8" x14ac:dyDescent="0.3">
      <c r="A475" s="1">
        <v>45386</v>
      </c>
      <c r="B475" t="s">
        <v>11</v>
      </c>
      <c r="C475" t="s">
        <v>16</v>
      </c>
      <c r="D475">
        <v>8311</v>
      </c>
      <c r="E475">
        <v>255</v>
      </c>
      <c r="F475">
        <v>28</v>
      </c>
      <c r="G475">
        <v>860.85</v>
      </c>
      <c r="H475">
        <v>3341.89</v>
      </c>
    </row>
    <row r="476" spans="1:8" x14ac:dyDescent="0.3">
      <c r="A476" s="1">
        <v>45386</v>
      </c>
      <c r="B476" t="s">
        <v>12</v>
      </c>
      <c r="C476" t="s">
        <v>17</v>
      </c>
      <c r="D476">
        <v>18146</v>
      </c>
      <c r="E476">
        <v>184</v>
      </c>
      <c r="F476">
        <v>20</v>
      </c>
      <c r="G476">
        <v>559.34</v>
      </c>
      <c r="H476">
        <v>889.23</v>
      </c>
    </row>
    <row r="477" spans="1:8" x14ac:dyDescent="0.3">
      <c r="A477" s="1">
        <v>45387</v>
      </c>
      <c r="B477" t="s">
        <v>8</v>
      </c>
      <c r="C477" t="s">
        <v>13</v>
      </c>
      <c r="D477">
        <v>6875</v>
      </c>
      <c r="E477">
        <v>399</v>
      </c>
      <c r="F477">
        <v>13</v>
      </c>
      <c r="G477">
        <v>732.71</v>
      </c>
      <c r="H477">
        <v>1172.42</v>
      </c>
    </row>
    <row r="478" spans="1:8" x14ac:dyDescent="0.3">
      <c r="A478" s="1">
        <v>45387</v>
      </c>
      <c r="B478" t="s">
        <v>9</v>
      </c>
      <c r="C478" t="s">
        <v>14</v>
      </c>
      <c r="D478">
        <v>21977</v>
      </c>
      <c r="E478">
        <v>361</v>
      </c>
      <c r="F478">
        <v>35</v>
      </c>
      <c r="G478">
        <v>824.48</v>
      </c>
      <c r="H478">
        <v>4866.24</v>
      </c>
    </row>
    <row r="479" spans="1:8" x14ac:dyDescent="0.3">
      <c r="A479" s="1">
        <v>45387</v>
      </c>
      <c r="B479" t="s">
        <v>10</v>
      </c>
      <c r="C479" t="s">
        <v>15</v>
      </c>
      <c r="D479">
        <v>21715</v>
      </c>
      <c r="E479">
        <v>339</v>
      </c>
      <c r="F479">
        <v>22</v>
      </c>
      <c r="G479">
        <v>1133.1600000000001</v>
      </c>
      <c r="H479">
        <v>2497.9499999999998</v>
      </c>
    </row>
    <row r="480" spans="1:8" x14ac:dyDescent="0.3">
      <c r="A480" s="1">
        <v>45387</v>
      </c>
      <c r="B480" t="s">
        <v>11</v>
      </c>
      <c r="C480" t="s">
        <v>16</v>
      </c>
      <c r="D480">
        <v>25584</v>
      </c>
      <c r="E480">
        <v>1413</v>
      </c>
      <c r="F480">
        <v>191</v>
      </c>
      <c r="G480">
        <v>3414.47</v>
      </c>
      <c r="H480">
        <v>18190.25</v>
      </c>
    </row>
    <row r="481" spans="1:8" x14ac:dyDescent="0.3">
      <c r="A481" s="1">
        <v>45387</v>
      </c>
      <c r="B481" t="s">
        <v>12</v>
      </c>
      <c r="C481" t="s">
        <v>17</v>
      </c>
      <c r="D481">
        <v>9658</v>
      </c>
      <c r="E481">
        <v>714</v>
      </c>
      <c r="F481">
        <v>71</v>
      </c>
      <c r="G481">
        <v>2255.52</v>
      </c>
      <c r="H481">
        <v>8494.23</v>
      </c>
    </row>
    <row r="482" spans="1:8" x14ac:dyDescent="0.3">
      <c r="A482" s="1">
        <v>45388</v>
      </c>
      <c r="B482" t="s">
        <v>8</v>
      </c>
      <c r="C482" t="s">
        <v>13</v>
      </c>
      <c r="D482">
        <v>16777</v>
      </c>
      <c r="E482">
        <v>790</v>
      </c>
      <c r="F482">
        <v>100</v>
      </c>
      <c r="G482">
        <v>2746.36</v>
      </c>
      <c r="H482">
        <v>13020.14</v>
      </c>
    </row>
    <row r="483" spans="1:8" x14ac:dyDescent="0.3">
      <c r="A483" s="1">
        <v>45388</v>
      </c>
      <c r="B483" t="s">
        <v>9</v>
      </c>
      <c r="C483" t="s">
        <v>14</v>
      </c>
      <c r="D483">
        <v>33669</v>
      </c>
      <c r="E483">
        <v>1591</v>
      </c>
      <c r="F483">
        <v>124</v>
      </c>
      <c r="G483">
        <v>1635.32</v>
      </c>
      <c r="H483">
        <v>10407.39</v>
      </c>
    </row>
    <row r="484" spans="1:8" x14ac:dyDescent="0.3">
      <c r="A484" s="1">
        <v>45388</v>
      </c>
      <c r="B484" t="s">
        <v>10</v>
      </c>
      <c r="C484" t="s">
        <v>15</v>
      </c>
      <c r="D484">
        <v>14428</v>
      </c>
      <c r="E484">
        <v>960</v>
      </c>
      <c r="F484">
        <v>46</v>
      </c>
      <c r="G484">
        <v>1977.45</v>
      </c>
      <c r="H484">
        <v>5972.62</v>
      </c>
    </row>
    <row r="485" spans="1:8" x14ac:dyDescent="0.3">
      <c r="A485" s="1">
        <v>45388</v>
      </c>
      <c r="B485" t="s">
        <v>11</v>
      </c>
      <c r="C485" t="s">
        <v>16</v>
      </c>
      <c r="D485">
        <v>12461</v>
      </c>
      <c r="E485">
        <v>862</v>
      </c>
      <c r="F485">
        <v>94</v>
      </c>
      <c r="G485">
        <v>1690.22</v>
      </c>
      <c r="H485">
        <v>10718.47</v>
      </c>
    </row>
    <row r="486" spans="1:8" x14ac:dyDescent="0.3">
      <c r="A486" s="1">
        <v>45388</v>
      </c>
      <c r="B486" t="s">
        <v>12</v>
      </c>
      <c r="C486" t="s">
        <v>17</v>
      </c>
      <c r="D486">
        <v>29950</v>
      </c>
      <c r="E486">
        <v>1436</v>
      </c>
      <c r="F486">
        <v>189</v>
      </c>
      <c r="G486">
        <v>3437.46</v>
      </c>
      <c r="H486">
        <v>12264.34</v>
      </c>
    </row>
    <row r="487" spans="1:8" x14ac:dyDescent="0.3">
      <c r="A487" s="1">
        <v>45389</v>
      </c>
      <c r="B487" t="s">
        <v>8</v>
      </c>
      <c r="C487" t="s">
        <v>13</v>
      </c>
      <c r="D487">
        <v>39591</v>
      </c>
      <c r="E487">
        <v>2675</v>
      </c>
      <c r="F487">
        <v>351</v>
      </c>
      <c r="G487">
        <v>8760.4</v>
      </c>
      <c r="H487">
        <v>30680.34</v>
      </c>
    </row>
    <row r="488" spans="1:8" x14ac:dyDescent="0.3">
      <c r="A488" s="1">
        <v>45389</v>
      </c>
      <c r="B488" t="s">
        <v>9</v>
      </c>
      <c r="C488" t="s">
        <v>14</v>
      </c>
      <c r="D488">
        <v>21743</v>
      </c>
      <c r="E488">
        <v>1571</v>
      </c>
      <c r="F488">
        <v>33</v>
      </c>
      <c r="G488">
        <v>2826.45</v>
      </c>
      <c r="H488">
        <v>1419.54</v>
      </c>
    </row>
    <row r="489" spans="1:8" x14ac:dyDescent="0.3">
      <c r="A489" s="1">
        <v>45389</v>
      </c>
      <c r="B489" t="s">
        <v>10</v>
      </c>
      <c r="C489" t="s">
        <v>15</v>
      </c>
      <c r="D489">
        <v>25384</v>
      </c>
      <c r="E489">
        <v>1188</v>
      </c>
      <c r="F489">
        <v>102</v>
      </c>
      <c r="G489">
        <v>1481.67</v>
      </c>
      <c r="H489">
        <v>11325.21</v>
      </c>
    </row>
    <row r="490" spans="1:8" x14ac:dyDescent="0.3">
      <c r="A490" s="1">
        <v>45389</v>
      </c>
      <c r="B490" t="s">
        <v>11</v>
      </c>
      <c r="C490" t="s">
        <v>16</v>
      </c>
      <c r="D490">
        <v>31167</v>
      </c>
      <c r="E490">
        <v>1973</v>
      </c>
      <c r="F490">
        <v>282</v>
      </c>
      <c r="G490">
        <v>3388.38</v>
      </c>
      <c r="H490">
        <v>27324.77</v>
      </c>
    </row>
    <row r="491" spans="1:8" x14ac:dyDescent="0.3">
      <c r="A491" s="1">
        <v>45389</v>
      </c>
      <c r="B491" t="s">
        <v>12</v>
      </c>
      <c r="C491" t="s">
        <v>17</v>
      </c>
      <c r="D491">
        <v>22297</v>
      </c>
      <c r="E491">
        <v>1217</v>
      </c>
      <c r="F491">
        <v>78</v>
      </c>
      <c r="G491">
        <v>1209.24</v>
      </c>
      <c r="H491">
        <v>6634.62</v>
      </c>
    </row>
    <row r="492" spans="1:8" x14ac:dyDescent="0.3">
      <c r="A492" s="1">
        <v>45390</v>
      </c>
      <c r="B492" t="s">
        <v>8</v>
      </c>
      <c r="C492" t="s">
        <v>13</v>
      </c>
      <c r="D492">
        <v>16120</v>
      </c>
      <c r="E492">
        <v>925</v>
      </c>
      <c r="F492">
        <v>91</v>
      </c>
      <c r="G492">
        <v>1650.57</v>
      </c>
      <c r="H492">
        <v>5821.1</v>
      </c>
    </row>
    <row r="493" spans="1:8" x14ac:dyDescent="0.3">
      <c r="A493" s="1">
        <v>45390</v>
      </c>
      <c r="B493" t="s">
        <v>9</v>
      </c>
      <c r="C493" t="s">
        <v>14</v>
      </c>
      <c r="D493">
        <v>34504</v>
      </c>
      <c r="E493">
        <v>599</v>
      </c>
      <c r="F493">
        <v>25</v>
      </c>
      <c r="G493">
        <v>2051.2600000000002</v>
      </c>
      <c r="H493">
        <v>1628.34</v>
      </c>
    </row>
    <row r="494" spans="1:8" x14ac:dyDescent="0.3">
      <c r="A494" s="1">
        <v>45390</v>
      </c>
      <c r="B494" t="s">
        <v>10</v>
      </c>
      <c r="C494" t="s">
        <v>15</v>
      </c>
      <c r="D494">
        <v>24799</v>
      </c>
      <c r="E494">
        <v>1125</v>
      </c>
      <c r="F494">
        <v>163</v>
      </c>
      <c r="G494">
        <v>2067.0300000000002</v>
      </c>
      <c r="H494">
        <v>7219.2</v>
      </c>
    </row>
    <row r="495" spans="1:8" x14ac:dyDescent="0.3">
      <c r="A495" s="1">
        <v>45390</v>
      </c>
      <c r="B495" t="s">
        <v>11</v>
      </c>
      <c r="C495" t="s">
        <v>16</v>
      </c>
      <c r="D495">
        <v>11591</v>
      </c>
      <c r="E495">
        <v>451</v>
      </c>
      <c r="F495">
        <v>32</v>
      </c>
      <c r="G495">
        <v>742.19</v>
      </c>
      <c r="H495">
        <v>1797.66</v>
      </c>
    </row>
    <row r="496" spans="1:8" x14ac:dyDescent="0.3">
      <c r="A496" s="1">
        <v>45390</v>
      </c>
      <c r="B496" t="s">
        <v>12</v>
      </c>
      <c r="C496" t="s">
        <v>17</v>
      </c>
      <c r="D496">
        <v>7169</v>
      </c>
      <c r="E496">
        <v>129</v>
      </c>
      <c r="F496">
        <v>18</v>
      </c>
      <c r="G496">
        <v>212.55</v>
      </c>
      <c r="H496">
        <v>2479.04</v>
      </c>
    </row>
    <row r="497" spans="1:8" x14ac:dyDescent="0.3">
      <c r="A497" s="1">
        <v>45391</v>
      </c>
      <c r="B497" t="s">
        <v>8</v>
      </c>
      <c r="C497" t="s">
        <v>13</v>
      </c>
      <c r="D497">
        <v>35403</v>
      </c>
      <c r="E497">
        <v>2819</v>
      </c>
      <c r="F497">
        <v>256</v>
      </c>
      <c r="G497">
        <v>2926.53</v>
      </c>
      <c r="H497">
        <v>27329.67</v>
      </c>
    </row>
    <row r="498" spans="1:8" x14ac:dyDescent="0.3">
      <c r="A498" s="1">
        <v>45391</v>
      </c>
      <c r="B498" t="s">
        <v>9</v>
      </c>
      <c r="C498" t="s">
        <v>14</v>
      </c>
      <c r="D498">
        <v>19973</v>
      </c>
      <c r="E498">
        <v>744</v>
      </c>
      <c r="F498">
        <v>52</v>
      </c>
      <c r="G498">
        <v>1278.97</v>
      </c>
      <c r="H498">
        <v>5176.8500000000004</v>
      </c>
    </row>
    <row r="499" spans="1:8" x14ac:dyDescent="0.3">
      <c r="A499" s="1">
        <v>45391</v>
      </c>
      <c r="B499" t="s">
        <v>10</v>
      </c>
      <c r="C499" t="s">
        <v>15</v>
      </c>
      <c r="D499">
        <v>8236</v>
      </c>
      <c r="E499">
        <v>357</v>
      </c>
      <c r="F499">
        <v>31</v>
      </c>
      <c r="G499">
        <v>447.86</v>
      </c>
      <c r="H499">
        <v>2081.9499999999998</v>
      </c>
    </row>
    <row r="500" spans="1:8" x14ac:dyDescent="0.3">
      <c r="A500" s="1">
        <v>45391</v>
      </c>
      <c r="B500" t="s">
        <v>11</v>
      </c>
      <c r="C500" t="s">
        <v>16</v>
      </c>
      <c r="D500">
        <v>15582</v>
      </c>
      <c r="E500">
        <v>636</v>
      </c>
      <c r="F500">
        <v>37</v>
      </c>
      <c r="G500">
        <v>954.13</v>
      </c>
      <c r="H500">
        <v>2272.12</v>
      </c>
    </row>
    <row r="501" spans="1:8" x14ac:dyDescent="0.3">
      <c r="A501" s="1">
        <v>45391</v>
      </c>
      <c r="B501" t="s">
        <v>12</v>
      </c>
      <c r="C501" t="s">
        <v>17</v>
      </c>
      <c r="D501">
        <v>5340</v>
      </c>
      <c r="E501">
        <v>181</v>
      </c>
      <c r="F501">
        <v>9</v>
      </c>
      <c r="G501">
        <v>617.09</v>
      </c>
      <c r="H501">
        <v>912.13</v>
      </c>
    </row>
    <row r="502" spans="1:8" x14ac:dyDescent="0.3">
      <c r="A502" s="1">
        <v>45392</v>
      </c>
      <c r="B502" t="s">
        <v>8</v>
      </c>
      <c r="C502" t="s">
        <v>13</v>
      </c>
      <c r="D502">
        <v>14714</v>
      </c>
      <c r="E502">
        <v>317</v>
      </c>
      <c r="F502">
        <v>30</v>
      </c>
      <c r="G502">
        <v>1109.26</v>
      </c>
      <c r="H502">
        <v>1696.72</v>
      </c>
    </row>
    <row r="503" spans="1:8" x14ac:dyDescent="0.3">
      <c r="A503" s="1">
        <v>45392</v>
      </c>
      <c r="B503" t="s">
        <v>9</v>
      </c>
      <c r="C503" t="s">
        <v>14</v>
      </c>
      <c r="D503">
        <v>31762</v>
      </c>
      <c r="E503">
        <v>778</v>
      </c>
      <c r="F503">
        <v>94</v>
      </c>
      <c r="G503">
        <v>2165.4499999999998</v>
      </c>
      <c r="H503">
        <v>6867.06</v>
      </c>
    </row>
    <row r="504" spans="1:8" x14ac:dyDescent="0.3">
      <c r="A504" s="1">
        <v>45392</v>
      </c>
      <c r="B504" t="s">
        <v>10</v>
      </c>
      <c r="C504" t="s">
        <v>15</v>
      </c>
      <c r="D504">
        <v>14429</v>
      </c>
      <c r="E504">
        <v>719</v>
      </c>
      <c r="F504">
        <v>72</v>
      </c>
      <c r="G504">
        <v>966.01</v>
      </c>
      <c r="H504">
        <v>6009.49</v>
      </c>
    </row>
    <row r="505" spans="1:8" x14ac:dyDescent="0.3">
      <c r="A505" s="1">
        <v>45392</v>
      </c>
      <c r="B505" t="s">
        <v>11</v>
      </c>
      <c r="C505" t="s">
        <v>16</v>
      </c>
      <c r="D505">
        <v>6307</v>
      </c>
      <c r="E505">
        <v>439</v>
      </c>
      <c r="F505">
        <v>49</v>
      </c>
      <c r="G505">
        <v>1426.2</v>
      </c>
      <c r="H505">
        <v>2673.49</v>
      </c>
    </row>
    <row r="506" spans="1:8" x14ac:dyDescent="0.3">
      <c r="A506" s="1">
        <v>45392</v>
      </c>
      <c r="B506" t="s">
        <v>12</v>
      </c>
      <c r="C506" t="s">
        <v>17</v>
      </c>
      <c r="D506">
        <v>6140</v>
      </c>
      <c r="E506">
        <v>318</v>
      </c>
      <c r="F506">
        <v>20</v>
      </c>
      <c r="G506">
        <v>648.04</v>
      </c>
      <c r="H506">
        <v>883.56</v>
      </c>
    </row>
    <row r="507" spans="1:8" x14ac:dyDescent="0.3">
      <c r="A507" s="1">
        <v>45393</v>
      </c>
      <c r="B507" t="s">
        <v>8</v>
      </c>
      <c r="C507" t="s">
        <v>13</v>
      </c>
      <c r="D507">
        <v>31086</v>
      </c>
      <c r="E507">
        <v>582</v>
      </c>
      <c r="F507">
        <v>71</v>
      </c>
      <c r="G507">
        <v>898.94</v>
      </c>
      <c r="H507">
        <v>9690.08</v>
      </c>
    </row>
    <row r="508" spans="1:8" x14ac:dyDescent="0.3">
      <c r="A508" s="1">
        <v>45393</v>
      </c>
      <c r="B508" t="s">
        <v>9</v>
      </c>
      <c r="C508" t="s">
        <v>14</v>
      </c>
      <c r="D508">
        <v>18893</v>
      </c>
      <c r="E508">
        <v>385</v>
      </c>
      <c r="F508">
        <v>30</v>
      </c>
      <c r="G508">
        <v>1327.74</v>
      </c>
      <c r="H508">
        <v>2795.24</v>
      </c>
    </row>
    <row r="509" spans="1:8" x14ac:dyDescent="0.3">
      <c r="A509" s="1">
        <v>45393</v>
      </c>
      <c r="B509" t="s">
        <v>10</v>
      </c>
      <c r="C509" t="s">
        <v>15</v>
      </c>
      <c r="D509">
        <v>34535</v>
      </c>
      <c r="E509">
        <v>1534</v>
      </c>
      <c r="F509">
        <v>90</v>
      </c>
      <c r="G509">
        <v>3262.56</v>
      </c>
      <c r="H509">
        <v>8772.2000000000007</v>
      </c>
    </row>
    <row r="510" spans="1:8" x14ac:dyDescent="0.3">
      <c r="A510" s="1">
        <v>45393</v>
      </c>
      <c r="B510" t="s">
        <v>11</v>
      </c>
      <c r="C510" t="s">
        <v>16</v>
      </c>
      <c r="D510">
        <v>18527</v>
      </c>
      <c r="E510">
        <v>757</v>
      </c>
      <c r="F510">
        <v>74</v>
      </c>
      <c r="G510">
        <v>2483.4</v>
      </c>
      <c r="H510">
        <v>5908.86</v>
      </c>
    </row>
    <row r="511" spans="1:8" x14ac:dyDescent="0.3">
      <c r="A511" s="1">
        <v>45393</v>
      </c>
      <c r="B511" t="s">
        <v>12</v>
      </c>
      <c r="C511" t="s">
        <v>17</v>
      </c>
      <c r="D511">
        <v>35386</v>
      </c>
      <c r="E511">
        <v>2569</v>
      </c>
      <c r="F511">
        <v>203</v>
      </c>
      <c r="G511">
        <v>5131.1400000000003</v>
      </c>
      <c r="H511">
        <v>21565.27</v>
      </c>
    </row>
    <row r="512" spans="1:8" x14ac:dyDescent="0.3">
      <c r="A512" s="1">
        <v>45394</v>
      </c>
      <c r="B512" t="s">
        <v>8</v>
      </c>
      <c r="C512" t="s">
        <v>13</v>
      </c>
      <c r="D512">
        <v>33398</v>
      </c>
      <c r="E512">
        <v>1674</v>
      </c>
      <c r="F512">
        <v>241</v>
      </c>
      <c r="G512">
        <v>2245.3000000000002</v>
      </c>
      <c r="H512">
        <v>12536.59</v>
      </c>
    </row>
    <row r="513" spans="1:8" x14ac:dyDescent="0.3">
      <c r="A513" s="1">
        <v>45394</v>
      </c>
      <c r="B513" t="s">
        <v>9</v>
      </c>
      <c r="C513" t="s">
        <v>14</v>
      </c>
      <c r="D513">
        <v>21499</v>
      </c>
      <c r="E513">
        <v>219</v>
      </c>
      <c r="F513">
        <v>22</v>
      </c>
      <c r="G513">
        <v>351.66</v>
      </c>
      <c r="H513">
        <v>1461.73</v>
      </c>
    </row>
    <row r="514" spans="1:8" x14ac:dyDescent="0.3">
      <c r="A514" s="1">
        <v>45394</v>
      </c>
      <c r="B514" t="s">
        <v>10</v>
      </c>
      <c r="C514" t="s">
        <v>15</v>
      </c>
      <c r="D514">
        <v>26826</v>
      </c>
      <c r="E514">
        <v>1110</v>
      </c>
      <c r="F514">
        <v>95</v>
      </c>
      <c r="G514">
        <v>2765.9</v>
      </c>
      <c r="H514">
        <v>13480.7</v>
      </c>
    </row>
    <row r="515" spans="1:8" x14ac:dyDescent="0.3">
      <c r="A515" s="1">
        <v>45394</v>
      </c>
      <c r="B515" t="s">
        <v>11</v>
      </c>
      <c r="C515" t="s">
        <v>16</v>
      </c>
      <c r="D515">
        <v>38905</v>
      </c>
      <c r="E515">
        <v>1687</v>
      </c>
      <c r="F515">
        <v>184</v>
      </c>
      <c r="G515">
        <v>4641.46</v>
      </c>
      <c r="H515">
        <v>21376.86</v>
      </c>
    </row>
    <row r="516" spans="1:8" x14ac:dyDescent="0.3">
      <c r="A516" s="1">
        <v>45394</v>
      </c>
      <c r="B516" t="s">
        <v>12</v>
      </c>
      <c r="C516" t="s">
        <v>17</v>
      </c>
      <c r="D516">
        <v>27313</v>
      </c>
      <c r="E516">
        <v>1482</v>
      </c>
      <c r="F516">
        <v>153</v>
      </c>
      <c r="G516">
        <v>4465.9399999999996</v>
      </c>
      <c r="H516">
        <v>11731.25</v>
      </c>
    </row>
    <row r="517" spans="1:8" x14ac:dyDescent="0.3">
      <c r="A517" s="1">
        <v>45395</v>
      </c>
      <c r="B517" t="s">
        <v>8</v>
      </c>
      <c r="C517" t="s">
        <v>13</v>
      </c>
      <c r="D517">
        <v>20906</v>
      </c>
      <c r="E517">
        <v>517</v>
      </c>
      <c r="F517">
        <v>74</v>
      </c>
      <c r="G517">
        <v>425.97</v>
      </c>
      <c r="H517">
        <v>11082.26</v>
      </c>
    </row>
    <row r="518" spans="1:8" x14ac:dyDescent="0.3">
      <c r="A518" s="1">
        <v>45395</v>
      </c>
      <c r="B518" t="s">
        <v>9</v>
      </c>
      <c r="C518" t="s">
        <v>14</v>
      </c>
      <c r="D518">
        <v>15503</v>
      </c>
      <c r="E518">
        <v>1234</v>
      </c>
      <c r="F518">
        <v>39</v>
      </c>
      <c r="G518">
        <v>994.92</v>
      </c>
      <c r="H518">
        <v>1749.45</v>
      </c>
    </row>
    <row r="519" spans="1:8" x14ac:dyDescent="0.3">
      <c r="A519" s="1">
        <v>45395</v>
      </c>
      <c r="B519" t="s">
        <v>10</v>
      </c>
      <c r="C519" t="s">
        <v>15</v>
      </c>
      <c r="D519">
        <v>8363</v>
      </c>
      <c r="E519">
        <v>571</v>
      </c>
      <c r="F519">
        <v>66</v>
      </c>
      <c r="G519">
        <v>677.03</v>
      </c>
      <c r="H519">
        <v>8109.89</v>
      </c>
    </row>
    <row r="520" spans="1:8" x14ac:dyDescent="0.3">
      <c r="A520" s="1">
        <v>45395</v>
      </c>
      <c r="B520" t="s">
        <v>11</v>
      </c>
      <c r="C520" t="s">
        <v>16</v>
      </c>
      <c r="D520">
        <v>13068</v>
      </c>
      <c r="E520">
        <v>882</v>
      </c>
      <c r="F520">
        <v>110</v>
      </c>
      <c r="G520">
        <v>2811.77</v>
      </c>
      <c r="H520">
        <v>12870.41</v>
      </c>
    </row>
    <row r="521" spans="1:8" x14ac:dyDescent="0.3">
      <c r="A521" s="1">
        <v>45395</v>
      </c>
      <c r="B521" t="s">
        <v>12</v>
      </c>
      <c r="C521" t="s">
        <v>17</v>
      </c>
      <c r="D521">
        <v>20038</v>
      </c>
      <c r="E521">
        <v>324</v>
      </c>
      <c r="F521">
        <v>27</v>
      </c>
      <c r="G521">
        <v>327.13</v>
      </c>
      <c r="H521">
        <v>2290.4</v>
      </c>
    </row>
    <row r="522" spans="1:8" x14ac:dyDescent="0.3">
      <c r="A522" s="1">
        <v>45396</v>
      </c>
      <c r="B522" t="s">
        <v>8</v>
      </c>
      <c r="C522" t="s">
        <v>13</v>
      </c>
      <c r="D522">
        <v>13605</v>
      </c>
      <c r="E522">
        <v>159</v>
      </c>
      <c r="F522">
        <v>9</v>
      </c>
      <c r="G522">
        <v>362.94</v>
      </c>
      <c r="H522">
        <v>985.77</v>
      </c>
    </row>
    <row r="523" spans="1:8" x14ac:dyDescent="0.3">
      <c r="A523" s="1">
        <v>45396</v>
      </c>
      <c r="B523" t="s">
        <v>9</v>
      </c>
      <c r="C523" t="s">
        <v>14</v>
      </c>
      <c r="D523">
        <v>15207</v>
      </c>
      <c r="E523">
        <v>229</v>
      </c>
      <c r="F523">
        <v>33</v>
      </c>
      <c r="G523">
        <v>506.31</v>
      </c>
      <c r="H523">
        <v>2407.42</v>
      </c>
    </row>
    <row r="524" spans="1:8" x14ac:dyDescent="0.3">
      <c r="A524" s="1">
        <v>45396</v>
      </c>
      <c r="B524" t="s">
        <v>10</v>
      </c>
      <c r="C524" t="s">
        <v>15</v>
      </c>
      <c r="D524">
        <v>20271</v>
      </c>
      <c r="E524">
        <v>362</v>
      </c>
      <c r="F524">
        <v>46</v>
      </c>
      <c r="G524">
        <v>526.36</v>
      </c>
      <c r="H524">
        <v>4260</v>
      </c>
    </row>
    <row r="525" spans="1:8" x14ac:dyDescent="0.3">
      <c r="A525" s="1">
        <v>45396</v>
      </c>
      <c r="B525" t="s">
        <v>11</v>
      </c>
      <c r="C525" t="s">
        <v>16</v>
      </c>
      <c r="D525">
        <v>15350</v>
      </c>
      <c r="E525">
        <v>380</v>
      </c>
      <c r="F525">
        <v>50</v>
      </c>
      <c r="G525">
        <v>715.74</v>
      </c>
      <c r="H525">
        <v>3608.83</v>
      </c>
    </row>
    <row r="526" spans="1:8" x14ac:dyDescent="0.3">
      <c r="A526" s="1">
        <v>45396</v>
      </c>
      <c r="B526" t="s">
        <v>12</v>
      </c>
      <c r="C526" t="s">
        <v>17</v>
      </c>
      <c r="D526">
        <v>9727</v>
      </c>
      <c r="E526">
        <v>373</v>
      </c>
      <c r="F526">
        <v>51</v>
      </c>
      <c r="G526">
        <v>622.17999999999995</v>
      </c>
      <c r="H526">
        <v>4712.8100000000004</v>
      </c>
    </row>
    <row r="527" spans="1:8" x14ac:dyDescent="0.3">
      <c r="A527" s="1">
        <v>45397</v>
      </c>
      <c r="B527" t="s">
        <v>8</v>
      </c>
      <c r="C527" t="s">
        <v>13</v>
      </c>
      <c r="D527">
        <v>7368</v>
      </c>
      <c r="E527">
        <v>356</v>
      </c>
      <c r="F527">
        <v>17</v>
      </c>
      <c r="G527">
        <v>317.16000000000003</v>
      </c>
      <c r="H527">
        <v>1081.3499999999999</v>
      </c>
    </row>
    <row r="528" spans="1:8" x14ac:dyDescent="0.3">
      <c r="A528" s="1">
        <v>45397</v>
      </c>
      <c r="B528" t="s">
        <v>9</v>
      </c>
      <c r="C528" t="s">
        <v>14</v>
      </c>
      <c r="D528">
        <v>28864</v>
      </c>
      <c r="E528">
        <v>1823</v>
      </c>
      <c r="F528">
        <v>80</v>
      </c>
      <c r="G528">
        <v>5001.29</v>
      </c>
      <c r="H528">
        <v>10829.01</v>
      </c>
    </row>
    <row r="529" spans="1:8" x14ac:dyDescent="0.3">
      <c r="A529" s="1">
        <v>45397</v>
      </c>
      <c r="B529" t="s">
        <v>10</v>
      </c>
      <c r="C529" t="s">
        <v>15</v>
      </c>
      <c r="D529">
        <v>20369</v>
      </c>
      <c r="E529">
        <v>1374</v>
      </c>
      <c r="F529">
        <v>126</v>
      </c>
      <c r="G529">
        <v>3462.68</v>
      </c>
      <c r="H529">
        <v>12334.22</v>
      </c>
    </row>
    <row r="530" spans="1:8" x14ac:dyDescent="0.3">
      <c r="A530" s="1">
        <v>45397</v>
      </c>
      <c r="B530" t="s">
        <v>11</v>
      </c>
      <c r="C530" t="s">
        <v>16</v>
      </c>
      <c r="D530">
        <v>36921</v>
      </c>
      <c r="E530">
        <v>2214</v>
      </c>
      <c r="F530">
        <v>281</v>
      </c>
      <c r="G530">
        <v>6577.1</v>
      </c>
      <c r="H530">
        <v>28317.8</v>
      </c>
    </row>
    <row r="531" spans="1:8" x14ac:dyDescent="0.3">
      <c r="A531" s="1">
        <v>45397</v>
      </c>
      <c r="B531" t="s">
        <v>12</v>
      </c>
      <c r="C531" t="s">
        <v>17</v>
      </c>
      <c r="D531">
        <v>23691</v>
      </c>
      <c r="E531">
        <v>473</v>
      </c>
      <c r="F531">
        <v>57</v>
      </c>
      <c r="G531">
        <v>725.02</v>
      </c>
      <c r="H531">
        <v>5394.28</v>
      </c>
    </row>
    <row r="532" spans="1:8" x14ac:dyDescent="0.3">
      <c r="A532" s="1">
        <v>45398</v>
      </c>
      <c r="B532" t="s">
        <v>8</v>
      </c>
      <c r="C532" t="s">
        <v>13</v>
      </c>
      <c r="D532">
        <v>17237</v>
      </c>
      <c r="E532">
        <v>1236</v>
      </c>
      <c r="F532">
        <v>157</v>
      </c>
      <c r="G532">
        <v>3397.33</v>
      </c>
      <c r="H532">
        <v>10969.62</v>
      </c>
    </row>
    <row r="533" spans="1:8" x14ac:dyDescent="0.3">
      <c r="A533" s="1">
        <v>45398</v>
      </c>
      <c r="B533" t="s">
        <v>9</v>
      </c>
      <c r="C533" t="s">
        <v>14</v>
      </c>
      <c r="D533">
        <v>29142</v>
      </c>
      <c r="E533">
        <v>501</v>
      </c>
      <c r="F533">
        <v>22</v>
      </c>
      <c r="G533">
        <v>1459.99</v>
      </c>
      <c r="H533">
        <v>2610.39</v>
      </c>
    </row>
    <row r="534" spans="1:8" x14ac:dyDescent="0.3">
      <c r="A534" s="1">
        <v>45398</v>
      </c>
      <c r="B534" t="s">
        <v>10</v>
      </c>
      <c r="C534" t="s">
        <v>15</v>
      </c>
      <c r="D534">
        <v>31917</v>
      </c>
      <c r="E534">
        <v>2320</v>
      </c>
      <c r="F534">
        <v>222</v>
      </c>
      <c r="G534">
        <v>4781.09</v>
      </c>
      <c r="H534">
        <v>17191.849999999999</v>
      </c>
    </row>
    <row r="535" spans="1:8" x14ac:dyDescent="0.3">
      <c r="A535" s="1">
        <v>45398</v>
      </c>
      <c r="B535" t="s">
        <v>11</v>
      </c>
      <c r="C535" t="s">
        <v>16</v>
      </c>
      <c r="D535">
        <v>20275</v>
      </c>
      <c r="E535">
        <v>1254</v>
      </c>
      <c r="F535">
        <v>76</v>
      </c>
      <c r="G535">
        <v>1348.19</v>
      </c>
      <c r="H535">
        <v>6051.56</v>
      </c>
    </row>
    <row r="536" spans="1:8" x14ac:dyDescent="0.3">
      <c r="A536" s="1">
        <v>45398</v>
      </c>
      <c r="B536" t="s">
        <v>12</v>
      </c>
      <c r="C536" t="s">
        <v>17</v>
      </c>
      <c r="D536">
        <v>37402</v>
      </c>
      <c r="E536">
        <v>1853</v>
      </c>
      <c r="F536">
        <v>245</v>
      </c>
      <c r="G536">
        <v>4343.22</v>
      </c>
      <c r="H536">
        <v>34249.040000000001</v>
      </c>
    </row>
    <row r="537" spans="1:8" x14ac:dyDescent="0.3">
      <c r="A537" s="1">
        <v>45399</v>
      </c>
      <c r="B537" t="s">
        <v>8</v>
      </c>
      <c r="C537" t="s">
        <v>13</v>
      </c>
      <c r="D537">
        <v>30394</v>
      </c>
      <c r="E537">
        <v>1226</v>
      </c>
      <c r="F537">
        <v>169</v>
      </c>
      <c r="G537">
        <v>2229.8000000000002</v>
      </c>
      <c r="H537">
        <v>24682.22</v>
      </c>
    </row>
    <row r="538" spans="1:8" x14ac:dyDescent="0.3">
      <c r="A538" s="1">
        <v>45399</v>
      </c>
      <c r="B538" t="s">
        <v>9</v>
      </c>
      <c r="C538" t="s">
        <v>14</v>
      </c>
      <c r="D538">
        <v>37441</v>
      </c>
      <c r="E538">
        <v>485</v>
      </c>
      <c r="F538">
        <v>45</v>
      </c>
      <c r="G538">
        <v>1606.06</v>
      </c>
      <c r="H538">
        <v>5979.03</v>
      </c>
    </row>
    <row r="539" spans="1:8" x14ac:dyDescent="0.3">
      <c r="A539" s="1">
        <v>45399</v>
      </c>
      <c r="B539" t="s">
        <v>10</v>
      </c>
      <c r="C539" t="s">
        <v>15</v>
      </c>
      <c r="D539">
        <v>28478</v>
      </c>
      <c r="E539">
        <v>293</v>
      </c>
      <c r="F539">
        <v>12</v>
      </c>
      <c r="G539">
        <v>798.49</v>
      </c>
      <c r="H539">
        <v>1359.63</v>
      </c>
    </row>
    <row r="540" spans="1:8" x14ac:dyDescent="0.3">
      <c r="A540" s="1">
        <v>45399</v>
      </c>
      <c r="B540" t="s">
        <v>11</v>
      </c>
      <c r="C540" t="s">
        <v>16</v>
      </c>
      <c r="D540">
        <v>29427</v>
      </c>
      <c r="E540">
        <v>561</v>
      </c>
      <c r="F540">
        <v>60</v>
      </c>
      <c r="G540">
        <v>1878.65</v>
      </c>
      <c r="H540">
        <v>4175.1899999999996</v>
      </c>
    </row>
    <row r="541" spans="1:8" x14ac:dyDescent="0.3">
      <c r="A541" s="1">
        <v>45399</v>
      </c>
      <c r="B541" t="s">
        <v>12</v>
      </c>
      <c r="C541" t="s">
        <v>17</v>
      </c>
      <c r="D541">
        <v>21211</v>
      </c>
      <c r="E541">
        <v>1372</v>
      </c>
      <c r="F541">
        <v>142</v>
      </c>
      <c r="G541">
        <v>1276.0999999999999</v>
      </c>
      <c r="H541">
        <v>11303.99</v>
      </c>
    </row>
    <row r="542" spans="1:8" x14ac:dyDescent="0.3">
      <c r="A542" s="1">
        <v>45400</v>
      </c>
      <c r="B542" t="s">
        <v>8</v>
      </c>
      <c r="C542" t="s">
        <v>13</v>
      </c>
      <c r="D542">
        <v>20206</v>
      </c>
      <c r="E542">
        <v>909</v>
      </c>
      <c r="F542">
        <v>69</v>
      </c>
      <c r="G542">
        <v>1850.53</v>
      </c>
      <c r="H542">
        <v>4345.42</v>
      </c>
    </row>
    <row r="543" spans="1:8" x14ac:dyDescent="0.3">
      <c r="A543" s="1">
        <v>45400</v>
      </c>
      <c r="B543" t="s">
        <v>9</v>
      </c>
      <c r="C543" t="s">
        <v>14</v>
      </c>
      <c r="D543">
        <v>10355</v>
      </c>
      <c r="E543">
        <v>105</v>
      </c>
      <c r="F543">
        <v>13</v>
      </c>
      <c r="G543">
        <v>136.74</v>
      </c>
      <c r="H543">
        <v>1309.46</v>
      </c>
    </row>
    <row r="544" spans="1:8" x14ac:dyDescent="0.3">
      <c r="A544" s="1">
        <v>45400</v>
      </c>
      <c r="B544" t="s">
        <v>10</v>
      </c>
      <c r="C544" t="s">
        <v>15</v>
      </c>
      <c r="D544">
        <v>31654</v>
      </c>
      <c r="E544">
        <v>1911</v>
      </c>
      <c r="F544">
        <v>130</v>
      </c>
      <c r="G544">
        <v>6016.52</v>
      </c>
      <c r="H544">
        <v>15646.1</v>
      </c>
    </row>
    <row r="545" spans="1:8" x14ac:dyDescent="0.3">
      <c r="A545" s="1">
        <v>45400</v>
      </c>
      <c r="B545" t="s">
        <v>11</v>
      </c>
      <c r="C545" t="s">
        <v>16</v>
      </c>
      <c r="D545">
        <v>39773</v>
      </c>
      <c r="E545">
        <v>998</v>
      </c>
      <c r="F545">
        <v>107</v>
      </c>
      <c r="G545">
        <v>2436.0500000000002</v>
      </c>
      <c r="H545">
        <v>7755.7</v>
      </c>
    </row>
    <row r="546" spans="1:8" x14ac:dyDescent="0.3">
      <c r="A546" s="1">
        <v>45400</v>
      </c>
      <c r="B546" t="s">
        <v>12</v>
      </c>
      <c r="C546" t="s">
        <v>17</v>
      </c>
      <c r="D546">
        <v>23135</v>
      </c>
      <c r="E546">
        <v>1738</v>
      </c>
      <c r="F546">
        <v>63</v>
      </c>
      <c r="G546">
        <v>4849.3</v>
      </c>
      <c r="H546">
        <v>9273.92</v>
      </c>
    </row>
    <row r="547" spans="1:8" x14ac:dyDescent="0.3">
      <c r="A547" s="1">
        <v>45401</v>
      </c>
      <c r="B547" t="s">
        <v>8</v>
      </c>
      <c r="C547" t="s">
        <v>13</v>
      </c>
      <c r="D547">
        <v>24604</v>
      </c>
      <c r="E547">
        <v>1420</v>
      </c>
      <c r="F547">
        <v>114</v>
      </c>
      <c r="G547">
        <v>3356.56</v>
      </c>
      <c r="H547">
        <v>5630.18</v>
      </c>
    </row>
    <row r="548" spans="1:8" x14ac:dyDescent="0.3">
      <c r="A548" s="1">
        <v>45401</v>
      </c>
      <c r="B548" t="s">
        <v>9</v>
      </c>
      <c r="C548" t="s">
        <v>14</v>
      </c>
      <c r="D548">
        <v>38002</v>
      </c>
      <c r="E548">
        <v>1358</v>
      </c>
      <c r="F548">
        <v>37</v>
      </c>
      <c r="G548">
        <v>1495.27</v>
      </c>
      <c r="H548">
        <v>3579.56</v>
      </c>
    </row>
    <row r="549" spans="1:8" x14ac:dyDescent="0.3">
      <c r="A549" s="1">
        <v>45401</v>
      </c>
      <c r="B549" t="s">
        <v>10</v>
      </c>
      <c r="C549" t="s">
        <v>15</v>
      </c>
      <c r="D549">
        <v>7100</v>
      </c>
      <c r="E549">
        <v>412</v>
      </c>
      <c r="F549">
        <v>21</v>
      </c>
      <c r="G549">
        <v>1343.07</v>
      </c>
      <c r="H549">
        <v>2776.39</v>
      </c>
    </row>
    <row r="550" spans="1:8" x14ac:dyDescent="0.3">
      <c r="A550" s="1">
        <v>45401</v>
      </c>
      <c r="B550" t="s">
        <v>11</v>
      </c>
      <c r="C550" t="s">
        <v>16</v>
      </c>
      <c r="D550">
        <v>13016</v>
      </c>
      <c r="E550">
        <v>243</v>
      </c>
      <c r="F550">
        <v>17</v>
      </c>
      <c r="G550">
        <v>517.77</v>
      </c>
      <c r="H550">
        <v>1436.02</v>
      </c>
    </row>
    <row r="551" spans="1:8" x14ac:dyDescent="0.3">
      <c r="A551" s="1">
        <v>45401</v>
      </c>
      <c r="B551" t="s">
        <v>12</v>
      </c>
      <c r="C551" t="s">
        <v>17</v>
      </c>
      <c r="D551">
        <v>39832</v>
      </c>
      <c r="E551">
        <v>2924</v>
      </c>
      <c r="F551">
        <v>159</v>
      </c>
      <c r="G551">
        <v>8061.8</v>
      </c>
      <c r="H551">
        <v>21710.05</v>
      </c>
    </row>
    <row r="552" spans="1:8" x14ac:dyDescent="0.3">
      <c r="A552" s="1">
        <v>45402</v>
      </c>
      <c r="B552" t="s">
        <v>8</v>
      </c>
      <c r="C552" t="s">
        <v>13</v>
      </c>
      <c r="D552">
        <v>6401</v>
      </c>
      <c r="E552">
        <v>296</v>
      </c>
      <c r="F552">
        <v>31</v>
      </c>
      <c r="G552">
        <v>486.04</v>
      </c>
      <c r="H552">
        <v>3879.31</v>
      </c>
    </row>
    <row r="553" spans="1:8" x14ac:dyDescent="0.3">
      <c r="A553" s="1">
        <v>45402</v>
      </c>
      <c r="B553" t="s">
        <v>9</v>
      </c>
      <c r="C553" t="s">
        <v>14</v>
      </c>
      <c r="D553">
        <v>16950</v>
      </c>
      <c r="E553">
        <v>430</v>
      </c>
      <c r="F553">
        <v>15</v>
      </c>
      <c r="G553">
        <v>1339.13</v>
      </c>
      <c r="H553">
        <v>1549.34</v>
      </c>
    </row>
    <row r="554" spans="1:8" x14ac:dyDescent="0.3">
      <c r="A554" s="1">
        <v>45402</v>
      </c>
      <c r="B554" t="s">
        <v>10</v>
      </c>
      <c r="C554" t="s">
        <v>15</v>
      </c>
      <c r="D554">
        <v>10818</v>
      </c>
      <c r="E554">
        <v>397</v>
      </c>
      <c r="F554">
        <v>26</v>
      </c>
      <c r="G554">
        <v>512.41</v>
      </c>
      <c r="H554">
        <v>2285.5500000000002</v>
      </c>
    </row>
    <row r="555" spans="1:8" x14ac:dyDescent="0.3">
      <c r="A555" s="1">
        <v>45402</v>
      </c>
      <c r="B555" t="s">
        <v>11</v>
      </c>
      <c r="C555" t="s">
        <v>16</v>
      </c>
      <c r="D555">
        <v>35431</v>
      </c>
      <c r="E555">
        <v>1081</v>
      </c>
      <c r="F555">
        <v>130</v>
      </c>
      <c r="G555">
        <v>2376.5700000000002</v>
      </c>
      <c r="H555">
        <v>10177.77</v>
      </c>
    </row>
    <row r="556" spans="1:8" x14ac:dyDescent="0.3">
      <c r="A556" s="1">
        <v>45402</v>
      </c>
      <c r="B556" t="s">
        <v>12</v>
      </c>
      <c r="C556" t="s">
        <v>17</v>
      </c>
      <c r="D556">
        <v>25093</v>
      </c>
      <c r="E556">
        <v>1253</v>
      </c>
      <c r="F556">
        <v>117</v>
      </c>
      <c r="G556">
        <v>3245.42</v>
      </c>
      <c r="H556">
        <v>11737.68</v>
      </c>
    </row>
    <row r="557" spans="1:8" x14ac:dyDescent="0.3">
      <c r="A557" s="1">
        <v>45403</v>
      </c>
      <c r="B557" t="s">
        <v>8</v>
      </c>
      <c r="C557" t="s">
        <v>13</v>
      </c>
      <c r="D557">
        <v>25936</v>
      </c>
      <c r="E557">
        <v>1252</v>
      </c>
      <c r="F557">
        <v>160</v>
      </c>
      <c r="G557">
        <v>3050.62</v>
      </c>
      <c r="H557">
        <v>11524.14</v>
      </c>
    </row>
    <row r="558" spans="1:8" x14ac:dyDescent="0.3">
      <c r="A558" s="1">
        <v>45403</v>
      </c>
      <c r="B558" t="s">
        <v>9</v>
      </c>
      <c r="C558" t="s">
        <v>14</v>
      </c>
      <c r="D558">
        <v>16308</v>
      </c>
      <c r="E558">
        <v>617</v>
      </c>
      <c r="F558">
        <v>36</v>
      </c>
      <c r="G558">
        <v>603.04</v>
      </c>
      <c r="H558">
        <v>2343.81</v>
      </c>
    </row>
    <row r="559" spans="1:8" x14ac:dyDescent="0.3">
      <c r="A559" s="1">
        <v>45403</v>
      </c>
      <c r="B559" t="s">
        <v>10</v>
      </c>
      <c r="C559" t="s">
        <v>15</v>
      </c>
      <c r="D559">
        <v>32233</v>
      </c>
      <c r="E559">
        <v>1683</v>
      </c>
      <c r="F559">
        <v>137</v>
      </c>
      <c r="G559">
        <v>1617.76</v>
      </c>
      <c r="H559">
        <v>15601.65</v>
      </c>
    </row>
    <row r="560" spans="1:8" x14ac:dyDescent="0.3">
      <c r="A560" s="1">
        <v>45403</v>
      </c>
      <c r="B560" t="s">
        <v>11</v>
      </c>
      <c r="C560" t="s">
        <v>16</v>
      </c>
      <c r="D560">
        <v>26607</v>
      </c>
      <c r="E560">
        <v>2021</v>
      </c>
      <c r="F560">
        <v>246</v>
      </c>
      <c r="G560">
        <v>7026.18</v>
      </c>
      <c r="H560">
        <v>24573.69</v>
      </c>
    </row>
    <row r="561" spans="1:8" x14ac:dyDescent="0.3">
      <c r="A561" s="1">
        <v>45403</v>
      </c>
      <c r="B561" t="s">
        <v>12</v>
      </c>
      <c r="C561" t="s">
        <v>17</v>
      </c>
      <c r="D561">
        <v>21616</v>
      </c>
      <c r="E561">
        <v>526</v>
      </c>
      <c r="F561">
        <v>60</v>
      </c>
      <c r="G561">
        <v>1300.95</v>
      </c>
      <c r="H561">
        <v>8314.1</v>
      </c>
    </row>
    <row r="562" spans="1:8" x14ac:dyDescent="0.3">
      <c r="A562" s="1">
        <v>45404</v>
      </c>
      <c r="B562" t="s">
        <v>8</v>
      </c>
      <c r="C562" t="s">
        <v>13</v>
      </c>
      <c r="D562">
        <v>36226</v>
      </c>
      <c r="E562">
        <v>1828</v>
      </c>
      <c r="F562">
        <v>71</v>
      </c>
      <c r="G562">
        <v>5465.78</v>
      </c>
      <c r="H562">
        <v>7806.81</v>
      </c>
    </row>
    <row r="563" spans="1:8" x14ac:dyDescent="0.3">
      <c r="A563" s="1">
        <v>45404</v>
      </c>
      <c r="B563" t="s">
        <v>9</v>
      </c>
      <c r="C563" t="s">
        <v>14</v>
      </c>
      <c r="D563">
        <v>12006</v>
      </c>
      <c r="E563">
        <v>686</v>
      </c>
      <c r="F563">
        <v>36</v>
      </c>
      <c r="G563">
        <v>1188.17</v>
      </c>
      <c r="H563">
        <v>5073.24</v>
      </c>
    </row>
    <row r="564" spans="1:8" x14ac:dyDescent="0.3">
      <c r="A564" s="1">
        <v>45404</v>
      </c>
      <c r="B564" t="s">
        <v>10</v>
      </c>
      <c r="C564" t="s">
        <v>15</v>
      </c>
      <c r="D564">
        <v>37983</v>
      </c>
      <c r="E564">
        <v>2307</v>
      </c>
      <c r="F564">
        <v>207</v>
      </c>
      <c r="G564">
        <v>2223.25</v>
      </c>
      <c r="H564">
        <v>23991.29</v>
      </c>
    </row>
    <row r="565" spans="1:8" x14ac:dyDescent="0.3">
      <c r="A565" s="1">
        <v>45404</v>
      </c>
      <c r="B565" t="s">
        <v>11</v>
      </c>
      <c r="C565" t="s">
        <v>16</v>
      </c>
      <c r="D565">
        <v>16033</v>
      </c>
      <c r="E565">
        <v>325</v>
      </c>
      <c r="F565">
        <v>6</v>
      </c>
      <c r="G565">
        <v>813.63</v>
      </c>
      <c r="H565">
        <v>535.46</v>
      </c>
    </row>
    <row r="566" spans="1:8" x14ac:dyDescent="0.3">
      <c r="A566" s="1">
        <v>45404</v>
      </c>
      <c r="B566" t="s">
        <v>12</v>
      </c>
      <c r="C566" t="s">
        <v>17</v>
      </c>
      <c r="D566">
        <v>39464</v>
      </c>
      <c r="E566">
        <v>3040</v>
      </c>
      <c r="F566">
        <v>270</v>
      </c>
      <c r="G566">
        <v>4417.46</v>
      </c>
      <c r="H566">
        <v>25667.93</v>
      </c>
    </row>
    <row r="567" spans="1:8" x14ac:dyDescent="0.3">
      <c r="A567" s="1">
        <v>45405</v>
      </c>
      <c r="B567" t="s">
        <v>8</v>
      </c>
      <c r="C567" t="s">
        <v>13</v>
      </c>
      <c r="D567">
        <v>32076</v>
      </c>
      <c r="E567">
        <v>1714</v>
      </c>
      <c r="F567">
        <v>241</v>
      </c>
      <c r="G567">
        <v>4892.28</v>
      </c>
      <c r="H567">
        <v>24137.25</v>
      </c>
    </row>
    <row r="568" spans="1:8" x14ac:dyDescent="0.3">
      <c r="A568" s="1">
        <v>45405</v>
      </c>
      <c r="B568" t="s">
        <v>9</v>
      </c>
      <c r="C568" t="s">
        <v>14</v>
      </c>
      <c r="D568">
        <v>6932</v>
      </c>
      <c r="E568">
        <v>291</v>
      </c>
      <c r="F568">
        <v>27</v>
      </c>
      <c r="G568">
        <v>911.61</v>
      </c>
      <c r="H568">
        <v>2509.56</v>
      </c>
    </row>
    <row r="569" spans="1:8" x14ac:dyDescent="0.3">
      <c r="A569" s="1">
        <v>45405</v>
      </c>
      <c r="B569" t="s">
        <v>10</v>
      </c>
      <c r="C569" t="s">
        <v>15</v>
      </c>
      <c r="D569">
        <v>5492</v>
      </c>
      <c r="E569">
        <v>74</v>
      </c>
      <c r="F569">
        <v>9</v>
      </c>
      <c r="G569">
        <v>255.24</v>
      </c>
      <c r="H569">
        <v>1145.21</v>
      </c>
    </row>
    <row r="570" spans="1:8" x14ac:dyDescent="0.3">
      <c r="A570" s="1">
        <v>45405</v>
      </c>
      <c r="B570" t="s">
        <v>11</v>
      </c>
      <c r="C570" t="s">
        <v>16</v>
      </c>
      <c r="D570">
        <v>18979</v>
      </c>
      <c r="E570">
        <v>1065</v>
      </c>
      <c r="F570">
        <v>36</v>
      </c>
      <c r="G570">
        <v>2682.37</v>
      </c>
      <c r="H570">
        <v>3413.01</v>
      </c>
    </row>
    <row r="571" spans="1:8" x14ac:dyDescent="0.3">
      <c r="A571" s="1">
        <v>45405</v>
      </c>
      <c r="B571" t="s">
        <v>12</v>
      </c>
      <c r="C571" t="s">
        <v>17</v>
      </c>
      <c r="D571">
        <v>35527</v>
      </c>
      <c r="E571">
        <v>2725</v>
      </c>
      <c r="F571">
        <v>239</v>
      </c>
      <c r="G571">
        <v>3792.16</v>
      </c>
      <c r="H571">
        <v>21626.15</v>
      </c>
    </row>
    <row r="572" spans="1:8" x14ac:dyDescent="0.3">
      <c r="A572" s="1">
        <v>45406</v>
      </c>
      <c r="B572" t="s">
        <v>8</v>
      </c>
      <c r="C572" t="s">
        <v>13</v>
      </c>
      <c r="D572">
        <v>36030</v>
      </c>
      <c r="E572">
        <v>899</v>
      </c>
      <c r="F572">
        <v>19</v>
      </c>
      <c r="G572">
        <v>753.64</v>
      </c>
      <c r="H572">
        <v>2493.4299999999998</v>
      </c>
    </row>
    <row r="573" spans="1:8" x14ac:dyDescent="0.3">
      <c r="A573" s="1">
        <v>45406</v>
      </c>
      <c r="B573" t="s">
        <v>9</v>
      </c>
      <c r="C573" t="s">
        <v>14</v>
      </c>
      <c r="D573">
        <v>30372</v>
      </c>
      <c r="E573">
        <v>2233</v>
      </c>
      <c r="F573">
        <v>318</v>
      </c>
      <c r="G573">
        <v>7575.15</v>
      </c>
      <c r="H573">
        <v>30960.66</v>
      </c>
    </row>
    <row r="574" spans="1:8" x14ac:dyDescent="0.3">
      <c r="A574" s="1">
        <v>45406</v>
      </c>
      <c r="B574" t="s">
        <v>10</v>
      </c>
      <c r="C574" t="s">
        <v>15</v>
      </c>
      <c r="D574">
        <v>10366</v>
      </c>
      <c r="E574">
        <v>388</v>
      </c>
      <c r="F574">
        <v>50</v>
      </c>
      <c r="G574">
        <v>1120.29</v>
      </c>
      <c r="H574">
        <v>3705</v>
      </c>
    </row>
    <row r="575" spans="1:8" x14ac:dyDescent="0.3">
      <c r="A575" s="1">
        <v>45406</v>
      </c>
      <c r="B575" t="s">
        <v>11</v>
      </c>
      <c r="C575" t="s">
        <v>16</v>
      </c>
      <c r="D575">
        <v>28360</v>
      </c>
      <c r="E575">
        <v>1193</v>
      </c>
      <c r="F575">
        <v>145</v>
      </c>
      <c r="G575">
        <v>4047.2</v>
      </c>
      <c r="H575">
        <v>17979.09</v>
      </c>
    </row>
    <row r="576" spans="1:8" x14ac:dyDescent="0.3">
      <c r="A576" s="1">
        <v>45406</v>
      </c>
      <c r="B576" t="s">
        <v>12</v>
      </c>
      <c r="C576" t="s">
        <v>17</v>
      </c>
      <c r="D576">
        <v>32691</v>
      </c>
      <c r="E576">
        <v>354</v>
      </c>
      <c r="F576">
        <v>7</v>
      </c>
      <c r="G576">
        <v>624.45000000000005</v>
      </c>
      <c r="H576">
        <v>993.17</v>
      </c>
    </row>
    <row r="577" spans="1:8" x14ac:dyDescent="0.3">
      <c r="A577" s="1">
        <v>45407</v>
      </c>
      <c r="B577" t="s">
        <v>8</v>
      </c>
      <c r="C577" t="s">
        <v>13</v>
      </c>
      <c r="D577">
        <v>24710</v>
      </c>
      <c r="E577">
        <v>1344</v>
      </c>
      <c r="F577">
        <v>65</v>
      </c>
      <c r="G577">
        <v>2242.48</v>
      </c>
      <c r="H577">
        <v>8663.5</v>
      </c>
    </row>
    <row r="578" spans="1:8" x14ac:dyDescent="0.3">
      <c r="A578" s="1">
        <v>45407</v>
      </c>
      <c r="B578" t="s">
        <v>9</v>
      </c>
      <c r="C578" t="s">
        <v>14</v>
      </c>
      <c r="D578">
        <v>14135</v>
      </c>
      <c r="E578">
        <v>235</v>
      </c>
      <c r="F578">
        <v>17</v>
      </c>
      <c r="G578">
        <v>206.51</v>
      </c>
      <c r="H578">
        <v>1579.26</v>
      </c>
    </row>
    <row r="579" spans="1:8" x14ac:dyDescent="0.3">
      <c r="A579" s="1">
        <v>45407</v>
      </c>
      <c r="B579" t="s">
        <v>10</v>
      </c>
      <c r="C579" t="s">
        <v>15</v>
      </c>
      <c r="D579">
        <v>23060</v>
      </c>
      <c r="E579">
        <v>231</v>
      </c>
      <c r="F579">
        <v>31</v>
      </c>
      <c r="G579">
        <v>280.73</v>
      </c>
      <c r="H579">
        <v>4616.1899999999996</v>
      </c>
    </row>
    <row r="580" spans="1:8" x14ac:dyDescent="0.3">
      <c r="A580" s="1">
        <v>45407</v>
      </c>
      <c r="B580" t="s">
        <v>11</v>
      </c>
      <c r="C580" t="s">
        <v>16</v>
      </c>
      <c r="D580">
        <v>7176</v>
      </c>
      <c r="E580">
        <v>94</v>
      </c>
      <c r="F580">
        <v>11</v>
      </c>
      <c r="G580">
        <v>169.54</v>
      </c>
      <c r="H580">
        <v>914.87</v>
      </c>
    </row>
    <row r="581" spans="1:8" x14ac:dyDescent="0.3">
      <c r="A581" s="1">
        <v>45407</v>
      </c>
      <c r="B581" t="s">
        <v>12</v>
      </c>
      <c r="C581" t="s">
        <v>17</v>
      </c>
      <c r="D581">
        <v>38396</v>
      </c>
      <c r="E581">
        <v>471</v>
      </c>
      <c r="F581">
        <v>12</v>
      </c>
      <c r="G581">
        <v>941.9</v>
      </c>
      <c r="H581">
        <v>843.72</v>
      </c>
    </row>
    <row r="582" spans="1:8" x14ac:dyDescent="0.3">
      <c r="A582" s="1">
        <v>45408</v>
      </c>
      <c r="B582" t="s">
        <v>8</v>
      </c>
      <c r="C582" t="s">
        <v>13</v>
      </c>
      <c r="D582">
        <v>9956</v>
      </c>
      <c r="E582">
        <v>492</v>
      </c>
      <c r="F582">
        <v>32</v>
      </c>
      <c r="G582">
        <v>1265.8699999999999</v>
      </c>
      <c r="H582">
        <v>2126.1999999999998</v>
      </c>
    </row>
    <row r="583" spans="1:8" x14ac:dyDescent="0.3">
      <c r="A583" s="1">
        <v>45408</v>
      </c>
      <c r="B583" t="s">
        <v>9</v>
      </c>
      <c r="C583" t="s">
        <v>14</v>
      </c>
      <c r="D583">
        <v>20417</v>
      </c>
      <c r="E583">
        <v>1458</v>
      </c>
      <c r="F583">
        <v>213</v>
      </c>
      <c r="G583">
        <v>1274.73</v>
      </c>
      <c r="H583">
        <v>28196.89</v>
      </c>
    </row>
    <row r="584" spans="1:8" x14ac:dyDescent="0.3">
      <c r="A584" s="1">
        <v>45408</v>
      </c>
      <c r="B584" t="s">
        <v>10</v>
      </c>
      <c r="C584" t="s">
        <v>15</v>
      </c>
      <c r="D584">
        <v>14256</v>
      </c>
      <c r="E584">
        <v>181</v>
      </c>
      <c r="F584">
        <v>4</v>
      </c>
      <c r="G584">
        <v>230.43</v>
      </c>
      <c r="H584">
        <v>541.38</v>
      </c>
    </row>
    <row r="585" spans="1:8" x14ac:dyDescent="0.3">
      <c r="A585" s="1">
        <v>45408</v>
      </c>
      <c r="B585" t="s">
        <v>11</v>
      </c>
      <c r="C585" t="s">
        <v>16</v>
      </c>
      <c r="D585">
        <v>39540</v>
      </c>
      <c r="E585">
        <v>1017</v>
      </c>
      <c r="F585">
        <v>77</v>
      </c>
      <c r="G585">
        <v>2788.34</v>
      </c>
      <c r="H585">
        <v>7851.36</v>
      </c>
    </row>
    <row r="586" spans="1:8" x14ac:dyDescent="0.3">
      <c r="A586" s="1">
        <v>45408</v>
      </c>
      <c r="B586" t="s">
        <v>12</v>
      </c>
      <c r="C586" t="s">
        <v>17</v>
      </c>
      <c r="D586">
        <v>27626</v>
      </c>
      <c r="E586">
        <v>907</v>
      </c>
      <c r="F586">
        <v>117</v>
      </c>
      <c r="G586">
        <v>1077.79</v>
      </c>
      <c r="H586">
        <v>10215.42</v>
      </c>
    </row>
    <row r="587" spans="1:8" x14ac:dyDescent="0.3">
      <c r="A587" s="1">
        <v>45409</v>
      </c>
      <c r="B587" t="s">
        <v>8</v>
      </c>
      <c r="C587" t="s">
        <v>13</v>
      </c>
      <c r="D587">
        <v>12812</v>
      </c>
      <c r="E587">
        <v>504</v>
      </c>
      <c r="F587">
        <v>61</v>
      </c>
      <c r="G587">
        <v>1051.4000000000001</v>
      </c>
      <c r="H587">
        <v>5778.49</v>
      </c>
    </row>
    <row r="588" spans="1:8" x14ac:dyDescent="0.3">
      <c r="A588" s="1">
        <v>45409</v>
      </c>
      <c r="B588" t="s">
        <v>9</v>
      </c>
      <c r="C588" t="s">
        <v>14</v>
      </c>
      <c r="D588">
        <v>25700</v>
      </c>
      <c r="E588">
        <v>716</v>
      </c>
      <c r="F588">
        <v>41</v>
      </c>
      <c r="G588">
        <v>1720.74</v>
      </c>
      <c r="H588">
        <v>1787.97</v>
      </c>
    </row>
    <row r="589" spans="1:8" x14ac:dyDescent="0.3">
      <c r="A589" s="1">
        <v>45409</v>
      </c>
      <c r="B589" t="s">
        <v>10</v>
      </c>
      <c r="C589" t="s">
        <v>15</v>
      </c>
      <c r="D589">
        <v>33152</v>
      </c>
      <c r="E589">
        <v>1177</v>
      </c>
      <c r="F589">
        <v>68</v>
      </c>
      <c r="G589">
        <v>3736.55</v>
      </c>
      <c r="H589">
        <v>6160.82</v>
      </c>
    </row>
    <row r="590" spans="1:8" x14ac:dyDescent="0.3">
      <c r="A590" s="1">
        <v>45409</v>
      </c>
      <c r="B590" t="s">
        <v>11</v>
      </c>
      <c r="C590" t="s">
        <v>16</v>
      </c>
      <c r="D590">
        <v>30966</v>
      </c>
      <c r="E590">
        <v>2067</v>
      </c>
      <c r="F590">
        <v>265</v>
      </c>
      <c r="G590">
        <v>3507.52</v>
      </c>
      <c r="H590">
        <v>30818.97</v>
      </c>
    </row>
    <row r="591" spans="1:8" x14ac:dyDescent="0.3">
      <c r="A591" s="1">
        <v>45409</v>
      </c>
      <c r="B591" t="s">
        <v>12</v>
      </c>
      <c r="C591" t="s">
        <v>17</v>
      </c>
      <c r="D591">
        <v>24991</v>
      </c>
      <c r="E591">
        <v>866</v>
      </c>
      <c r="F591">
        <v>110</v>
      </c>
      <c r="G591">
        <v>1898.51</v>
      </c>
      <c r="H591">
        <v>10005.85</v>
      </c>
    </row>
    <row r="592" spans="1:8" x14ac:dyDescent="0.3">
      <c r="A592" s="1">
        <v>45410</v>
      </c>
      <c r="B592" t="s">
        <v>8</v>
      </c>
      <c r="C592" t="s">
        <v>13</v>
      </c>
      <c r="D592">
        <v>12415</v>
      </c>
      <c r="E592">
        <v>376</v>
      </c>
      <c r="F592">
        <v>53</v>
      </c>
      <c r="G592">
        <v>698.58</v>
      </c>
      <c r="H592">
        <v>5307.26</v>
      </c>
    </row>
    <row r="593" spans="1:8" x14ac:dyDescent="0.3">
      <c r="A593" s="1">
        <v>45410</v>
      </c>
      <c r="B593" t="s">
        <v>9</v>
      </c>
      <c r="C593" t="s">
        <v>14</v>
      </c>
      <c r="D593">
        <v>37252</v>
      </c>
      <c r="E593">
        <v>1458</v>
      </c>
      <c r="F593">
        <v>128</v>
      </c>
      <c r="G593">
        <v>1381.47</v>
      </c>
      <c r="H593">
        <v>18820.939999999999</v>
      </c>
    </row>
    <row r="594" spans="1:8" x14ac:dyDescent="0.3">
      <c r="A594" s="1">
        <v>45410</v>
      </c>
      <c r="B594" t="s">
        <v>10</v>
      </c>
      <c r="C594" t="s">
        <v>15</v>
      </c>
      <c r="D594">
        <v>27918</v>
      </c>
      <c r="E594">
        <v>677</v>
      </c>
      <c r="F594">
        <v>14</v>
      </c>
      <c r="G594">
        <v>1341.27</v>
      </c>
      <c r="H594">
        <v>1919.41</v>
      </c>
    </row>
    <row r="595" spans="1:8" x14ac:dyDescent="0.3">
      <c r="A595" s="1">
        <v>45410</v>
      </c>
      <c r="B595" t="s">
        <v>11</v>
      </c>
      <c r="C595" t="s">
        <v>16</v>
      </c>
      <c r="D595">
        <v>29917</v>
      </c>
      <c r="E595">
        <v>1826</v>
      </c>
      <c r="F595">
        <v>266</v>
      </c>
      <c r="G595">
        <v>2566.61</v>
      </c>
      <c r="H595">
        <v>30040.76</v>
      </c>
    </row>
    <row r="596" spans="1:8" x14ac:dyDescent="0.3">
      <c r="A596" s="1">
        <v>45410</v>
      </c>
      <c r="B596" t="s">
        <v>12</v>
      </c>
      <c r="C596" t="s">
        <v>17</v>
      </c>
      <c r="D596">
        <v>24624</v>
      </c>
      <c r="E596">
        <v>1708</v>
      </c>
      <c r="F596">
        <v>128</v>
      </c>
      <c r="G596">
        <v>2763.4</v>
      </c>
      <c r="H596">
        <v>9700.16</v>
      </c>
    </row>
    <row r="597" spans="1:8" x14ac:dyDescent="0.3">
      <c r="A597" s="1">
        <v>45411</v>
      </c>
      <c r="B597" t="s">
        <v>8</v>
      </c>
      <c r="C597" t="s">
        <v>13</v>
      </c>
      <c r="D597">
        <v>28064</v>
      </c>
      <c r="E597">
        <v>777</v>
      </c>
      <c r="F597">
        <v>42</v>
      </c>
      <c r="G597">
        <v>884.59</v>
      </c>
      <c r="H597">
        <v>3236.78</v>
      </c>
    </row>
    <row r="598" spans="1:8" x14ac:dyDescent="0.3">
      <c r="A598" s="1">
        <v>45411</v>
      </c>
      <c r="B598" t="s">
        <v>9</v>
      </c>
      <c r="C598" t="s">
        <v>14</v>
      </c>
      <c r="D598">
        <v>12214</v>
      </c>
      <c r="E598">
        <v>811</v>
      </c>
      <c r="F598">
        <v>120</v>
      </c>
      <c r="G598">
        <v>2300.38</v>
      </c>
      <c r="H598">
        <v>9990.18</v>
      </c>
    </row>
    <row r="599" spans="1:8" x14ac:dyDescent="0.3">
      <c r="A599" s="1">
        <v>45411</v>
      </c>
      <c r="B599" t="s">
        <v>10</v>
      </c>
      <c r="C599" t="s">
        <v>15</v>
      </c>
      <c r="D599">
        <v>7708</v>
      </c>
      <c r="E599">
        <v>157</v>
      </c>
      <c r="F599">
        <v>10</v>
      </c>
      <c r="G599">
        <v>301.29000000000002</v>
      </c>
      <c r="H599">
        <v>1229.21</v>
      </c>
    </row>
    <row r="600" spans="1:8" x14ac:dyDescent="0.3">
      <c r="A600" s="1">
        <v>45411</v>
      </c>
      <c r="B600" t="s">
        <v>11</v>
      </c>
      <c r="C600" t="s">
        <v>16</v>
      </c>
      <c r="D600">
        <v>35881</v>
      </c>
      <c r="E600">
        <v>2319</v>
      </c>
      <c r="F600">
        <v>222</v>
      </c>
      <c r="G600">
        <v>7817.35</v>
      </c>
      <c r="H600">
        <v>9915.9500000000007</v>
      </c>
    </row>
    <row r="601" spans="1:8" x14ac:dyDescent="0.3">
      <c r="A601" s="1">
        <v>45411</v>
      </c>
      <c r="B601" t="s">
        <v>12</v>
      </c>
      <c r="C601" t="s">
        <v>17</v>
      </c>
      <c r="D601">
        <v>32128</v>
      </c>
      <c r="E601">
        <v>1134</v>
      </c>
      <c r="F601">
        <v>162</v>
      </c>
      <c r="G601">
        <v>2842.75</v>
      </c>
      <c r="H601">
        <v>8795.56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C6E6-05E6-4F20-BB56-68C93F5C0B55}">
  <dimension ref="A1:N6"/>
  <sheetViews>
    <sheetView topLeftCell="B1" zoomScale="87" workbookViewId="0">
      <selection activeCell="K11" sqref="K11"/>
    </sheetView>
  </sheetViews>
  <sheetFormatPr defaultRowHeight="14.4" x14ac:dyDescent="0.3"/>
  <cols>
    <col min="1" max="2" width="17.88671875" customWidth="1"/>
    <col min="3" max="3" width="17.6640625" customWidth="1"/>
    <col min="4" max="4" width="14.77734375" customWidth="1"/>
    <col min="5" max="5" width="16.5546875" customWidth="1"/>
    <col min="6" max="6" width="14.88671875" customWidth="1"/>
    <col min="7" max="7" width="19.109375" customWidth="1"/>
    <col min="8" max="8" width="18.6640625" customWidth="1"/>
    <col min="9" max="9" width="17.21875" customWidth="1"/>
    <col min="10" max="10" width="17.77734375" customWidth="1"/>
    <col min="11" max="11" width="17.109375" customWidth="1"/>
    <col min="12" max="12" width="20.6640625" customWidth="1"/>
    <col min="13" max="13" width="17.5546875" customWidth="1"/>
    <col min="14" max="14" width="17.6640625" customWidth="1"/>
  </cols>
  <sheetData>
    <row r="1" spans="1:14" x14ac:dyDescent="0.3">
      <c r="A1" t="s">
        <v>1</v>
      </c>
      <c r="B1" t="s">
        <v>3</v>
      </c>
      <c r="C1" t="s">
        <v>4</v>
      </c>
      <c r="D1" t="s">
        <v>5</v>
      </c>
      <c r="E1" s="4" t="s">
        <v>18</v>
      </c>
      <c r="F1" s="4" t="s">
        <v>7</v>
      </c>
      <c r="G1" s="3" t="s">
        <v>19</v>
      </c>
      <c r="H1" s="3" t="s">
        <v>20</v>
      </c>
      <c r="I1" s="4" t="s">
        <v>21</v>
      </c>
      <c r="J1" s="5" t="s">
        <v>22</v>
      </c>
      <c r="K1" s="4" t="s">
        <v>23</v>
      </c>
      <c r="L1" s="6" t="s">
        <v>24</v>
      </c>
      <c r="M1" t="s">
        <v>25</v>
      </c>
      <c r="N1" t="s">
        <v>26</v>
      </c>
    </row>
    <row r="2" spans="1:14" x14ac:dyDescent="0.3">
      <c r="A2" t="s">
        <v>8</v>
      </c>
      <c r="B2">
        <f>SUMIFS(tblMarketing[impressions], tblMarketing[channel], $A2)</f>
        <v>2834299</v>
      </c>
      <c r="C2">
        <f>SUMIFS(tblMarketing[clicks], tblMarketing[channel], $A2)</f>
        <v>129224</v>
      </c>
      <c r="D2">
        <f>SUMIFS(tblMarketing[conversions], tblMarketing[channel], $A2)</f>
        <v>11297</v>
      </c>
      <c r="E2" s="4">
        <f>SUMIFS(tblMarketing[cost], tblMarketing[channel], $A2)</f>
        <v>292757.28000000014</v>
      </c>
      <c r="F2" s="4">
        <f>SUMIFS(tblMarketing[revenue], tblMarketing[channel], $A2)</f>
        <v>1076106.53</v>
      </c>
      <c r="G2" s="3">
        <f>IFERROR(C2/B2,0)</f>
        <v>4.5592931444424174E-2</v>
      </c>
      <c r="H2" s="3">
        <f>IFERROR(D2/C2,0)</f>
        <v>8.7421841144059931E-2</v>
      </c>
      <c r="I2" s="4">
        <f>IFERROR(E2/D2,0)</f>
        <v>25.914603877135537</v>
      </c>
      <c r="J2" s="5">
        <f>IFERROR(F2/E2,0)</f>
        <v>3.6757635198687439</v>
      </c>
      <c r="K2" s="4">
        <f>F2-E2</f>
        <v>783349.24999999988</v>
      </c>
      <c r="L2" s="6">
        <f>IFERROR(K2/F2,0)</f>
        <v>0.72794767819130313</v>
      </c>
      <c r="M2" t="str">
        <f>IF(J2&gt;=3.8,"Winner",IF(J2&gt;=3.4,"Neutral","Waste"))</f>
        <v>Neutral</v>
      </c>
      <c r="N2" t="str">
        <f>IF(M2="Winner","Increase budget",IF(M2="Neutral","Test &amp; optimize","Reduce/Stop spend"))</f>
        <v>Test &amp; optimize</v>
      </c>
    </row>
    <row r="3" spans="1:14" x14ac:dyDescent="0.3">
      <c r="A3" t="s">
        <v>9</v>
      </c>
      <c r="B3">
        <f>SUMIFS(tblMarketing[impressions], tblMarketing[channel], $A3)</f>
        <v>2610776</v>
      </c>
      <c r="C3">
        <f>SUMIFS(tblMarketing[clicks], tblMarketing[channel], $A3)</f>
        <v>112661</v>
      </c>
      <c r="D3">
        <f>SUMIFS(tblMarketing[conversions], tblMarketing[channel], $A3)</f>
        <v>9342</v>
      </c>
      <c r="E3" s="4">
        <f>SUMIFS(tblMarketing[cost], tblMarketing[channel], $A3)</f>
        <v>222058.2300000001</v>
      </c>
      <c r="F3" s="4">
        <f>SUMIFS(tblMarketing[revenue], tblMarketing[channel], $A3)</f>
        <v>859194.9700000002</v>
      </c>
      <c r="G3" s="3">
        <f t="shared" ref="G3:G6" si="0">IFERROR(C3/B3,0)</f>
        <v>4.3152304142523142E-2</v>
      </c>
      <c r="H3" s="3">
        <f t="shared" ref="H3:H6" si="1">IFERROR(D3/C3,0)</f>
        <v>8.2921330362769718E-2</v>
      </c>
      <c r="I3" s="4">
        <f t="shared" ref="I3:I6" si="2">IFERROR(E3/D3,0)</f>
        <v>23.769881181759803</v>
      </c>
      <c r="J3" s="5">
        <f t="shared" ref="J3:J6" si="3">IFERROR(F3/E3,0)</f>
        <v>3.869232723326669</v>
      </c>
      <c r="K3" s="4">
        <f t="shared" ref="K3:K6" si="4">F3-E3</f>
        <v>637136.74000000011</v>
      </c>
      <c r="L3" s="6">
        <f t="shared" ref="L3:L6" si="5">IFERROR(K3/F3,0)</f>
        <v>0.74155082635085723</v>
      </c>
      <c r="M3" t="str">
        <f t="shared" ref="M3:M6" si="6">IF(J3&gt;=3.8,"Winner",IF(J3&gt;=3.4,"Neutral","Waste"))</f>
        <v>Winner</v>
      </c>
      <c r="N3" t="str">
        <f t="shared" ref="N3:N6" si="7">IF(M3="Winner","Increase budget",IF(M3="Neutral","Test &amp; optimize","Reduce/Stop spend"))</f>
        <v>Increase budget</v>
      </c>
    </row>
    <row r="4" spans="1:14" x14ac:dyDescent="0.3">
      <c r="A4" t="s">
        <v>10</v>
      </c>
      <c r="B4">
        <f>SUMIFS(tblMarketing[impressions], tblMarketing[channel], $A4)</f>
        <v>2721297</v>
      </c>
      <c r="C4">
        <f>SUMIFS(tblMarketing[clicks], tblMarketing[channel], $A4)</f>
        <v>122834</v>
      </c>
      <c r="D4">
        <f>SUMIFS(tblMarketing[conversions], tblMarketing[channel], $A4)</f>
        <v>11312</v>
      </c>
      <c r="E4" s="4">
        <f>SUMIFS(tblMarketing[cost], tblMarketing[channel], $A4)</f>
        <v>261204.62999999995</v>
      </c>
      <c r="F4" s="4">
        <f>SUMIFS(tblMarketing[revenue], tblMarketing[channel], $A4)</f>
        <v>1108327.7699999996</v>
      </c>
      <c r="G4" s="3">
        <f t="shared" si="0"/>
        <v>4.5138035282440689E-2</v>
      </c>
      <c r="H4" s="3">
        <f t="shared" si="1"/>
        <v>9.2091766123386029E-2</v>
      </c>
      <c r="I4" s="4">
        <f t="shared" si="2"/>
        <v>23.090932637906644</v>
      </c>
      <c r="J4" s="5">
        <f t="shared" si="3"/>
        <v>4.2431398325519716</v>
      </c>
      <c r="K4" s="4">
        <f t="shared" si="4"/>
        <v>847123.13999999966</v>
      </c>
      <c r="L4" s="6">
        <f t="shared" si="5"/>
        <v>0.76432546664422207</v>
      </c>
      <c r="M4" t="str">
        <f t="shared" si="6"/>
        <v>Winner</v>
      </c>
      <c r="N4" t="str">
        <f t="shared" si="7"/>
        <v>Increase budget</v>
      </c>
    </row>
    <row r="5" spans="1:14" x14ac:dyDescent="0.3">
      <c r="A5" t="s">
        <v>11</v>
      </c>
      <c r="B5">
        <f>SUMIFS(tblMarketing[impressions], tblMarketing[channel], $A5)</f>
        <v>2702753</v>
      </c>
      <c r="C5">
        <f>SUMIFS(tblMarketing[clicks], tblMarketing[channel], $A5)</f>
        <v>121145</v>
      </c>
      <c r="D5">
        <f>SUMIFS(tblMarketing[conversions], tblMarketing[channel], $A5)</f>
        <v>11201</v>
      </c>
      <c r="E5" s="4">
        <f>SUMIFS(tblMarketing[cost], tblMarketing[channel], $A5)</f>
        <v>276704.79000000004</v>
      </c>
      <c r="F5" s="4">
        <f>SUMIFS(tblMarketing[revenue], tblMarketing[channel], $A5)</f>
        <v>1026339.1599999998</v>
      </c>
      <c r="G5" s="3">
        <f t="shared" si="0"/>
        <v>4.4822815847397078E-2</v>
      </c>
      <c r="H5" s="3">
        <f t="shared" si="1"/>
        <v>9.2459449420116385E-2</v>
      </c>
      <c r="I5" s="4">
        <f t="shared" si="2"/>
        <v>24.703579144719225</v>
      </c>
      <c r="J5" s="5">
        <f t="shared" si="3"/>
        <v>3.7091485116683369</v>
      </c>
      <c r="K5" s="4">
        <f t="shared" si="4"/>
        <v>749634.36999999976</v>
      </c>
      <c r="L5" s="6">
        <f t="shared" si="5"/>
        <v>0.73039634383628105</v>
      </c>
      <c r="M5" t="str">
        <f t="shared" si="6"/>
        <v>Neutral</v>
      </c>
      <c r="N5" t="str">
        <f t="shared" si="7"/>
        <v>Test &amp; optimize</v>
      </c>
    </row>
    <row r="6" spans="1:14" x14ac:dyDescent="0.3">
      <c r="A6" t="s">
        <v>12</v>
      </c>
      <c r="B6">
        <f>SUMIFS(tblMarketing[impressions], tblMarketing[channel], $A6)</f>
        <v>2852560</v>
      </c>
      <c r="C6">
        <f>SUMIFS(tblMarketing[clicks], tblMarketing[channel], $A6)</f>
        <v>131654</v>
      </c>
      <c r="D6">
        <f>SUMIFS(tblMarketing[conversions], tblMarketing[channel], $A6)</f>
        <v>11066</v>
      </c>
      <c r="E6" s="4">
        <f>SUMIFS(tblMarketing[cost], tblMarketing[channel], $A6)</f>
        <v>272205.71000000002</v>
      </c>
      <c r="F6" s="4">
        <f>SUMIFS(tblMarketing[revenue], tblMarketing[channel], $A6)</f>
        <v>1010746.7500000009</v>
      </c>
      <c r="G6" s="3">
        <f t="shared" si="0"/>
        <v>4.615292929859495E-2</v>
      </c>
      <c r="H6" s="3">
        <f t="shared" si="1"/>
        <v>8.4053655794734686E-2</v>
      </c>
      <c r="I6" s="4">
        <f t="shared" si="2"/>
        <v>24.598383336345567</v>
      </c>
      <c r="J6" s="5">
        <f t="shared" si="3"/>
        <v>3.7131724753312518</v>
      </c>
      <c r="K6" s="4">
        <f t="shared" si="4"/>
        <v>738541.04000000097</v>
      </c>
      <c r="L6" s="6">
        <f t="shared" si="5"/>
        <v>0.7306885132205474</v>
      </c>
      <c r="M6" t="str">
        <f t="shared" si="6"/>
        <v>Neutral</v>
      </c>
      <c r="N6" t="str">
        <f t="shared" si="7"/>
        <v>Test &amp; optimize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CC17-8D08-4F7F-8035-1F443F1713E9}">
  <dimension ref="A1:L8"/>
  <sheetViews>
    <sheetView tabSelected="1" workbookViewId="0">
      <selection activeCell="K13" sqref="K13"/>
    </sheetView>
  </sheetViews>
  <sheetFormatPr defaultRowHeight="14.4" x14ac:dyDescent="0.3"/>
  <cols>
    <col min="1" max="1" width="16" customWidth="1"/>
    <col min="2" max="2" width="17.5546875" customWidth="1"/>
    <col min="3" max="4" width="15.77734375" customWidth="1"/>
    <col min="5" max="5" width="16.21875" customWidth="1"/>
    <col min="6" max="6" width="15.44140625" customWidth="1"/>
    <col min="7" max="7" width="16.88671875" customWidth="1"/>
    <col min="8" max="9" width="16.33203125" customWidth="1"/>
    <col min="11" max="11" width="25.77734375" customWidth="1"/>
    <col min="12" max="12" width="18.109375" customWidth="1"/>
  </cols>
  <sheetData>
    <row r="1" spans="1:12" x14ac:dyDescent="0.3">
      <c r="A1" t="s">
        <v>1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4" t="s">
        <v>35</v>
      </c>
      <c r="H1" s="4" t="s">
        <v>36</v>
      </c>
      <c r="I1" s="4" t="s">
        <v>37</v>
      </c>
    </row>
    <row r="2" spans="1:12" x14ac:dyDescent="0.3">
      <c r="A2" t="s">
        <v>10</v>
      </c>
      <c r="B2" s="4">
        <f>INDEX(kpi_summary!$E$2:$E$6, MATCH($A2, kpi_summary!$A$2:$A$6, 0))</f>
        <v>261204.62999999995</v>
      </c>
      <c r="C2" s="4">
        <f>IF(
INDEX(kpi_summary!$M$2:$M$6,MATCH($A2,kpi_summary!$A$2:$A$6,0))="Neutral",
B2*(1-0.1),
IF(
INDEX(kpi_summary!$M$2:$M$6,MATCH($A2,kpi_summary!$A$2:$A$6,0))="Winner",
B2 + ($L$4/$L$3),
B2
)
)</f>
        <v>303288.01899999997</v>
      </c>
      <c r="D2" s="4">
        <f>C2*INDEX(kpi_summary!$J$2:$J$6,MATCH($A2,kpi_summary!$A$2:$A$6,0))</f>
        <v>1286893.4741546791</v>
      </c>
      <c r="E2" s="4">
        <f>D2-C2</f>
        <v>983605.45515467913</v>
      </c>
      <c r="F2" s="5">
        <f>IFERROR(D2/C2,0)</f>
        <v>4.2431398325519716</v>
      </c>
      <c r="G2" s="4">
        <f>C2-B2</f>
        <v>42083.389000000025</v>
      </c>
      <c r="H2" s="4">
        <f>E2-(INDEX(kpi_summary!$K$2:$K$6,MATCH($A2,kpi_summary!$A$2:$A$6,0)))</f>
        <v>136482.31515467947</v>
      </c>
      <c r="I2" s="4">
        <f>INDEX(kpi_summary!$K$2:$K$6,MATCH($A2,kpi_summary!$A$2:$A$6,0))</f>
        <v>847123.13999999966</v>
      </c>
      <c r="K2" t="s">
        <v>34</v>
      </c>
      <c r="L2">
        <f>SUMIF(kpi_summary!$M$2:$M$6,"Neutral",kpi_summary!$E$2:$E$6)</f>
        <v>841667.78000000026</v>
      </c>
    </row>
    <row r="3" spans="1:12" x14ac:dyDescent="0.3">
      <c r="A3" t="s">
        <v>9</v>
      </c>
      <c r="B3" s="4">
        <f>INDEX(kpi_summary!$E$2:$E$6, MATCH($A3, kpi_summary!$A$2:$A$6, 0))</f>
        <v>222058.2300000001</v>
      </c>
      <c r="C3" s="4">
        <f>IF(
INDEX(kpi_summary!$M$2:$M$6,MATCH($A3,kpi_summary!$A$2:$A$6,0))="Neutral",
B3*(1-0.1),
IF(
INDEX(kpi_summary!$M$2:$M$6,MATCH($A3,kpi_summary!$A$2:$A$6,0))="Winner",
B3 + ($L$4/$L$3),
B3
)
)</f>
        <v>264141.61900000012</v>
      </c>
      <c r="D3" s="4">
        <f>C3*INDEX(kpi_summary!$J$2:$J$6,MATCH($A3,kpi_summary!$A$2:$A$6,0))</f>
        <v>1022025.3958272859</v>
      </c>
      <c r="E3" s="4">
        <f>D3-C3</f>
        <v>757883.77682728576</v>
      </c>
      <c r="F3" s="5">
        <f>IFERROR(D3/C3,0)</f>
        <v>3.869232723326669</v>
      </c>
      <c r="G3" s="4">
        <f>C3-B3</f>
        <v>42083.389000000025</v>
      </c>
      <c r="H3" s="4">
        <f>E3-(INDEX(kpi_summary!$K$2:$K$6,MATCH($A3,kpi_summary!$A$2:$A$6,0)))</f>
        <v>120747.03682728566</v>
      </c>
      <c r="I3" s="4">
        <f>INDEX(kpi_summary!$K$2:$K$6,MATCH($A3,kpi_summary!$A$2:$A$6,0))</f>
        <v>637136.74000000011</v>
      </c>
      <c r="K3" t="s">
        <v>32</v>
      </c>
      <c r="L3">
        <f>COUNTIF(kpi_summary!$M$2:$M$6,"Winner")</f>
        <v>2</v>
      </c>
    </row>
    <row r="4" spans="1:12" x14ac:dyDescent="0.3">
      <c r="A4" t="s">
        <v>8</v>
      </c>
      <c r="B4" s="4">
        <f>INDEX(kpi_summary!$E$2:$E$6, MATCH($A4, kpi_summary!$A$2:$A$6, 0))</f>
        <v>292757.28000000014</v>
      </c>
      <c r="C4" s="4">
        <f>IF(
INDEX(kpi_summary!$M$2:$M$6,MATCH($A4,kpi_summary!$A$2:$A$6,0))="Neutral",
B4*(1-0.1),
IF(
INDEX(kpi_summary!$M$2:$M$6,MATCH($A4,kpi_summary!$A$2:$A$6,0))="Winner",
B4 + ($L$4/$L$3),
B4
)
)</f>
        <v>263481.55200000014</v>
      </c>
      <c r="D4" s="4">
        <f>C4*INDEX(kpi_summary!$J$2:$J$6,MATCH($A4,kpi_summary!$A$2:$A$6,0))</f>
        <v>968495.87699999998</v>
      </c>
      <c r="E4" s="4">
        <f>D4-C4</f>
        <v>705014.32499999984</v>
      </c>
      <c r="F4" s="5">
        <f>IFERROR(D4/C4,0)</f>
        <v>3.6757635198687439</v>
      </c>
      <c r="G4" s="4">
        <f>C4-B4</f>
        <v>-29275.728000000003</v>
      </c>
      <c r="H4" s="4">
        <f>E4-(INDEX(kpi_summary!$K$2:$K$6,MATCH($A4,kpi_summary!$A$2:$A$6,0)))</f>
        <v>-78334.925000000047</v>
      </c>
      <c r="I4" s="4">
        <f>INDEX(kpi_summary!$K$2:$K$6,MATCH($A4,kpi_summary!$A$2:$A$6,0))</f>
        <v>783349.24999999988</v>
      </c>
      <c r="K4" t="s">
        <v>33</v>
      </c>
      <c r="L4">
        <f>0.1*L2</f>
        <v>84166.778000000035</v>
      </c>
    </row>
    <row r="5" spans="1:12" x14ac:dyDescent="0.3">
      <c r="A5" t="s">
        <v>11</v>
      </c>
      <c r="B5" s="4">
        <f>INDEX(kpi_summary!$E$2:$E$6, MATCH($A5, kpi_summary!$A$2:$A$6, 0))</f>
        <v>276704.79000000004</v>
      </c>
      <c r="C5" s="4">
        <f>IF(
INDEX(kpi_summary!$M$2:$M$6,MATCH($A5,kpi_summary!$A$2:$A$6,0))="Neutral",
B5*(1-0.1),
IF(
INDEX(kpi_summary!$M$2:$M$6,MATCH($A5,kpi_summary!$A$2:$A$6,0))="Winner",
B5 + ($L$4/$L$3),
B5
)
)</f>
        <v>249034.31100000005</v>
      </c>
      <c r="D5" s="4">
        <f>C5*INDEX(kpi_summary!$J$2:$J$6,MATCH($A5,kpi_summary!$A$2:$A$6,0))</f>
        <v>923705.24399999995</v>
      </c>
      <c r="E5" s="4">
        <f>D5-C5</f>
        <v>674670.93299999996</v>
      </c>
      <c r="F5" s="5">
        <f>IFERROR(D5/C5,0)</f>
        <v>3.7091485116683369</v>
      </c>
      <c r="G5" s="4">
        <f>C5-B5</f>
        <v>-27670.478999999992</v>
      </c>
      <c r="H5" s="4">
        <f>E5-(INDEX(kpi_summary!$K$2:$K$6,MATCH($A5,kpi_summary!$A$2:$A$6,0)))</f>
        <v>-74963.436999999802</v>
      </c>
      <c r="I5" s="4">
        <f>INDEX(kpi_summary!$K$2:$K$6,MATCH($A5,kpi_summary!$A$2:$A$6,0))</f>
        <v>749634.36999999976</v>
      </c>
    </row>
    <row r="6" spans="1:12" x14ac:dyDescent="0.3">
      <c r="A6" t="s">
        <v>12</v>
      </c>
      <c r="B6" s="4">
        <f>INDEX(kpi_summary!$E$2:$E$6, MATCH($A6, kpi_summary!$A$2:$A$6, 0))</f>
        <v>272205.71000000002</v>
      </c>
      <c r="C6" s="4">
        <f>IF(
INDEX(kpi_summary!$M$2:$M$6,MATCH($A6,kpi_summary!$A$2:$A$6,0))="Neutral",
B6*(1-0.1),
IF(
INDEX(kpi_summary!$M$2:$M$6,MATCH($A6,kpi_summary!$A$2:$A$6,0))="Winner",
B6 + ($L$4/$L$3),
B6
)
)</f>
        <v>244985.13900000002</v>
      </c>
      <c r="D6" s="4">
        <f>C6*INDEX(kpi_summary!$J$2:$J$6,MATCH($A6,kpi_summary!$A$2:$A$6,0))</f>
        <v>909672.07500000088</v>
      </c>
      <c r="E6" s="4">
        <f>D6-C6</f>
        <v>664686.93600000092</v>
      </c>
      <c r="F6" s="5">
        <f>IFERROR(D6/C6,0)</f>
        <v>3.7131724753312518</v>
      </c>
      <c r="G6" s="4">
        <f>C6-B6</f>
        <v>-27220.570999999996</v>
      </c>
      <c r="H6" s="4">
        <f>E6-(INDEX(kpi_summary!$K$2:$K$6,MATCH($A6,kpi_summary!$A$2:$A$6,0)))</f>
        <v>-73854.10400000005</v>
      </c>
      <c r="I6" s="4">
        <f>INDEX(kpi_summary!$K$2:$K$6,MATCH($A6,kpi_summary!$A$2:$A$6,0))</f>
        <v>738541.04000000097</v>
      </c>
    </row>
    <row r="8" spans="1:12" x14ac:dyDescent="0.3">
      <c r="B8" t="b">
        <f>SUM(B2:B6) = SUM(C2:C6)</f>
        <v>1</v>
      </c>
    </row>
  </sheetData>
  <sortState xmlns:xlrd2="http://schemas.microsoft.com/office/spreadsheetml/2017/richdata2" ref="A2:I6">
    <sortCondition descending="1" ref="E2:E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kpi_summary</vt:lpstr>
      <vt:lpstr>budget_scenario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Kshitij Chauhan</cp:lastModifiedBy>
  <dcterms:created xsi:type="dcterms:W3CDTF">2025-12-25T19:57:53Z</dcterms:created>
  <dcterms:modified xsi:type="dcterms:W3CDTF">2026-01-04T23:40:55Z</dcterms:modified>
</cp:coreProperties>
</file>